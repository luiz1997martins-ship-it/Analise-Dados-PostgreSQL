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FMartins\Desktop\SQL\projeto1\"/>
    </mc:Choice>
  </mc:AlternateContent>
  <xr:revisionPtr revIDLastSave="0" documentId="13_ncr:1_{DB24FF0B-0545-4ACE-B414-D7B79024C01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shboard" sheetId="2" r:id="rId1"/>
    <sheet name="Resultados" sheetId="3" r:id="rId2"/>
    <sheet name="Queries" sheetId="4" r:id="rId3"/>
  </sheets>
  <definedNames>
    <definedName name="_xlnm._FilterDatabase" localSheetId="0" hidden="1">Resultados!$M$3:$N$3</definedName>
    <definedName name="_xlchart.v5.0" hidden="1">Resultados!$I$3:$J$3</definedName>
    <definedName name="_xlchart.v5.1" hidden="1">Resultados!$I$4:$J$10</definedName>
    <definedName name="_xlchart.v5.10" hidden="1">Resultados!$K$4:$K$9</definedName>
    <definedName name="_xlchart.v5.2" hidden="1">Resultados!$I$4:$J$15</definedName>
    <definedName name="_xlchart.v5.3" hidden="1">Resultados!$I$4:$J$8</definedName>
    <definedName name="_xlchart.v5.4" hidden="1">Resultados!$I$4:$J$9</definedName>
    <definedName name="_xlchart.v5.5" hidden="1">Resultados!$K$2</definedName>
    <definedName name="_xlchart.v5.6" hidden="1">Resultados!$K$3</definedName>
    <definedName name="_xlchart.v5.7" hidden="1">Resultados!$K$4:$K$10</definedName>
    <definedName name="_xlchart.v5.8" hidden="1">Resultados!$K$4:$K$15</definedName>
    <definedName name="_xlchart.v5.9" hidden="1">Resultados!$K$4:$K$8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9" i="3" l="1"/>
  <c r="E29" i="3" l="1"/>
  <c r="F29" i="3" l="1"/>
  <c r="G29" i="3" l="1"/>
  <c r="H29" i="3" l="1"/>
  <c r="I29" i="3" l="1"/>
  <c r="J29" i="3" l="1"/>
  <c r="K29" i="3" l="1"/>
  <c r="L29" i="3" l="1"/>
</calcChain>
</file>

<file path=xl/sharedStrings.xml><?xml version="1.0" encoding="utf-8"?>
<sst xmlns="http://schemas.openxmlformats.org/spreadsheetml/2006/main" count="48" uniqueCount="41">
  <si>
    <t>mês</t>
  </si>
  <si>
    <t>leads (#)</t>
  </si>
  <si>
    <t>vendas (#)</t>
  </si>
  <si>
    <t>receita (k, R$)</t>
  </si>
  <si>
    <t>conversão (%)</t>
  </si>
  <si>
    <t>ticket médio (k, R$)</t>
  </si>
  <si>
    <t>estado</t>
  </si>
  <si>
    <t>país</t>
  </si>
  <si>
    <t>marca</t>
  </si>
  <si>
    <t>loja</t>
  </si>
  <si>
    <t>dia_semana</t>
  </si>
  <si>
    <t>dia da semana</t>
  </si>
  <si>
    <t>visitas (#)</t>
  </si>
  <si>
    <t>1 - Receita, leads, conversão e ticket médio mês a mês</t>
  </si>
  <si>
    <t>2- Estados que mais venderam</t>
  </si>
  <si>
    <t>3 - Marcas que mais venderam no mês</t>
  </si>
  <si>
    <t>4 - Lojas que mais venderam</t>
  </si>
  <si>
    <t>5 - Dias da semana com maior número de visitas ao site</t>
  </si>
  <si>
    <t>Brazil</t>
  </si>
  <si>
    <t>SP</t>
  </si>
  <si>
    <t>MG</t>
  </si>
  <si>
    <t>SC</t>
  </si>
  <si>
    <t>RS</t>
  </si>
  <si>
    <t>PR</t>
  </si>
  <si>
    <t>CHEVROLET</t>
  </si>
  <si>
    <t>FIAT</t>
  </si>
  <si>
    <t>VOLKSWAGEN</t>
  </si>
  <si>
    <t>FORD</t>
  </si>
  <si>
    <t>RENAULT</t>
  </si>
  <si>
    <t>KIYOKO CILEIDI JERY LTDA</t>
  </si>
  <si>
    <t>CLAUDINEO JOZENAIDE LUYANE LTDA</t>
  </si>
  <si>
    <t>NILFA CID SILVANDRO LTDA</t>
  </si>
  <si>
    <t>GERRIVALDO ROSIELEN VALTEIDE LTDA</t>
  </si>
  <si>
    <t>ADO JUBERTH VALTUIDES LTDA</t>
  </si>
  <si>
    <t>domingo</t>
  </si>
  <si>
    <t>segunda</t>
  </si>
  <si>
    <t>terça</t>
  </si>
  <si>
    <t>quarta</t>
  </si>
  <si>
    <t>quinta</t>
  </si>
  <si>
    <t>sexta</t>
  </si>
  <si>
    <t>sabado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</si>
</sst>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[$-416]mmm\-yy;@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4">
    <xf numFmtId="0" fontId="0" fillId="0" borderId="0" xfId="0"/>
    <xf numFmtId="0" fontId="0" fillId="2" borderId="0" xfId="0" applyFill="1"/>
    <xf numFmtId="9" fontId="0" fillId="2" borderId="0" xfId="0" applyNumberFormat="1" applyFill="1"/>
    <xf numFmtId="9" fontId="0" fillId="0" borderId="0" xfId="0" applyNumberFormat="1"/>
    <xf numFmtId="164" fontId="0" fillId="2" borderId="0" xfId="0" applyNumberFormat="1" applyFill="1"/>
    <xf numFmtId="164" fontId="0" fillId="0" borderId="0" xfId="0" applyNumberFormat="1"/>
    <xf numFmtId="3" fontId="0" fillId="2" borderId="0" xfId="0" applyNumberFormat="1" applyFill="1"/>
    <xf numFmtId="3" fontId="0" fillId="0" borderId="0" xfId="0" applyNumberFormat="1"/>
    <xf numFmtId="165" fontId="0" fillId="2" borderId="0" xfId="0" applyNumberFormat="1" applyFill="1"/>
    <xf numFmtId="165" fontId="0" fillId="0" borderId="0" xfId="0" applyNumberFormat="1"/>
    <xf numFmtId="17" fontId="1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center"/>
    </xf>
    <xf numFmtId="0" fontId="3" fillId="0" borderId="0" xfId="0" applyFont="1"/>
    <xf numFmtId="9" fontId="0" fillId="2" borderId="0" xfId="1" applyFont="1" applyFill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mruColors>
      <color rgb="FFFFBE00"/>
      <color rgb="FF404040"/>
      <color rgb="FFC89400"/>
      <color rgb="FF1C819E"/>
      <color rgb="FF176C83"/>
      <color rgb="FFBFBFBF"/>
      <color rgb="FFA6A6A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Leads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8964838790962708E-2"/>
          <c:y val="0.19366649151933321"/>
          <c:w val="0.86520753223694313"/>
          <c:h val="0.6388614107665450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Resultados!$C$3</c:f>
              <c:strCache>
                <c:ptCount val="1"/>
                <c:pt idx="0">
                  <c:v>leads (#)</c:v>
                </c:pt>
              </c:strCache>
            </c:strRef>
          </c:tx>
          <c:spPr>
            <a:solidFill>
              <a:srgbClr val="176C8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Resultados!$B$4:$B$15</c:f>
              <c:numCache>
                <c:formatCode>[$-416]mmm\-yy;@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Resultados!$C$4:$C$15</c:f>
              <c:numCache>
                <c:formatCode>#,##0</c:formatCode>
                <c:ptCount val="12"/>
                <c:pt idx="0">
                  <c:v>26</c:v>
                </c:pt>
                <c:pt idx="1">
                  <c:v>931</c:v>
                </c:pt>
                <c:pt idx="2">
                  <c:v>1207</c:v>
                </c:pt>
                <c:pt idx="3">
                  <c:v>1008</c:v>
                </c:pt>
                <c:pt idx="4">
                  <c:v>1058</c:v>
                </c:pt>
                <c:pt idx="5">
                  <c:v>1300</c:v>
                </c:pt>
                <c:pt idx="6">
                  <c:v>1932</c:v>
                </c:pt>
                <c:pt idx="7">
                  <c:v>2376</c:v>
                </c:pt>
                <c:pt idx="8">
                  <c:v>3819</c:v>
                </c:pt>
                <c:pt idx="9">
                  <c:v>4440</c:v>
                </c:pt>
                <c:pt idx="10">
                  <c:v>6130</c:v>
                </c:pt>
                <c:pt idx="11">
                  <c:v>6353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7-4792-8753-862D5E3DF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1305806031"/>
        <c:axId val="1305802703"/>
      </c:barChart>
      <c:lineChart>
        <c:grouping val="standard"/>
        <c:varyColors val="0"/>
        <c:ser>
          <c:idx val="1"/>
          <c:order val="1"/>
          <c:tx>
            <c:strRef>
              <c:f>Resultados!$F$3</c:f>
              <c:strCache>
                <c:ptCount val="1"/>
                <c:pt idx="0">
                  <c:v>conversão (%)</c:v>
                </c:pt>
              </c:strCache>
            </c:strRef>
          </c:tx>
          <c:spPr>
            <a:ln w="28575" cap="rnd">
              <a:solidFill>
                <a:srgbClr val="FFBE00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lumMod val="75000"/>
                  <a:alpha val="7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Resultados!$B$4:$B$15</c:f>
              <c:numCache>
                <c:formatCode>[$-416]mmm\-yy;@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Resultados!$F$4:$F$15</c:f>
              <c:numCache>
                <c:formatCode>0%</c:formatCode>
                <c:ptCount val="12"/>
                <c:pt idx="0">
                  <c:v>0.19230769230769201</c:v>
                </c:pt>
                <c:pt idx="1">
                  <c:v>3.7593984962405999E-2</c:v>
                </c:pt>
                <c:pt idx="2">
                  <c:v>3.6454018227009097E-2</c:v>
                </c:pt>
                <c:pt idx="3">
                  <c:v>3.2738095238095198E-2</c:v>
                </c:pt>
                <c:pt idx="4">
                  <c:v>3.0245746691871401E-2</c:v>
                </c:pt>
                <c:pt idx="5">
                  <c:v>5.2307692307692298E-2</c:v>
                </c:pt>
                <c:pt idx="6">
                  <c:v>6.15942028985507E-2</c:v>
                </c:pt>
                <c:pt idx="7">
                  <c:v>5.97643097643097E-2</c:v>
                </c:pt>
                <c:pt idx="8">
                  <c:v>0.103168368682901</c:v>
                </c:pt>
                <c:pt idx="9">
                  <c:v>0.132657657657657</c:v>
                </c:pt>
                <c:pt idx="10">
                  <c:v>0.17504078303425699</c:v>
                </c:pt>
                <c:pt idx="11">
                  <c:v>0.19738706123091401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7-4792-8753-862D5E3DF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86420143"/>
        <c:axId val="1886418895"/>
      </c:lineChart>
      <c:dateAx>
        <c:axId val="1305806031"/>
        <c:scaling>
          <c:orientation val="minMax"/>
        </c:scaling>
        <c:delete val="0"/>
        <c:axPos val="b"/>
        <c:numFmt formatCode="[$-416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5802703"/>
        <c:crosses val="autoZero"/>
        <c:auto val="1"/>
        <c:lblOffset val="100"/>
        <c:baseTimeUnit val="months"/>
      </c:dateAx>
      <c:valAx>
        <c:axId val="1305802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5806031"/>
        <c:crosses val="autoZero"/>
        <c:crossBetween val="between"/>
      </c:valAx>
      <c:valAx>
        <c:axId val="1886418895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6420143"/>
        <c:crosses val="max"/>
        <c:crossBetween val="between"/>
      </c:valAx>
      <c:dateAx>
        <c:axId val="1886420143"/>
        <c:scaling>
          <c:orientation val="minMax"/>
        </c:scaling>
        <c:delete val="1"/>
        <c:axPos val="b"/>
        <c:numFmt formatCode="[$-416]mmm\-yy;@" sourceLinked="1"/>
        <c:majorTickMark val="out"/>
        <c:minorTickMark val="none"/>
        <c:tickLblPos val="nextTo"/>
        <c:crossAx val="188641889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i="0"/>
              <a:t>Receita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8964838790962708E-2"/>
          <c:y val="0.19366649151933321"/>
          <c:w val="0.86520753223694313"/>
          <c:h val="0.6388614107665450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Resultados!$E$3</c:f>
              <c:strCache>
                <c:ptCount val="1"/>
                <c:pt idx="0">
                  <c:v>receita (k, R$)</c:v>
                </c:pt>
              </c:strCache>
            </c:strRef>
          </c:tx>
          <c:spPr>
            <a:solidFill>
              <a:srgbClr val="176C8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Resultados!$B$4:$B$15</c:f>
              <c:numCache>
                <c:formatCode>[$-416]mmm\-yy;@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Resultados!$E$4:$E$15</c:f>
              <c:numCache>
                <c:formatCode>#,##0</c:formatCode>
                <c:ptCount val="12"/>
                <c:pt idx="0">
                  <c:v>259.29000000000002</c:v>
                </c:pt>
                <c:pt idx="1">
                  <c:v>1676.46</c:v>
                </c:pt>
                <c:pt idx="2">
                  <c:v>2278.5100000000002</c:v>
                </c:pt>
                <c:pt idx="3">
                  <c:v>2602.77</c:v>
                </c:pt>
                <c:pt idx="4">
                  <c:v>2297.2199999999998</c:v>
                </c:pt>
                <c:pt idx="5">
                  <c:v>3631.1</c:v>
                </c:pt>
                <c:pt idx="6">
                  <c:v>7911.19</c:v>
                </c:pt>
                <c:pt idx="7">
                  <c:v>7477.56</c:v>
                </c:pt>
                <c:pt idx="8">
                  <c:v>21508.48</c:v>
                </c:pt>
                <c:pt idx="9">
                  <c:v>33179.25</c:v>
                </c:pt>
                <c:pt idx="10">
                  <c:v>58987.79</c:v>
                </c:pt>
                <c:pt idx="11">
                  <c:v>68274.09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7-4792-8753-862D5E3DF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1305806031"/>
        <c:axId val="1305802703"/>
      </c:barChart>
      <c:lineChart>
        <c:grouping val="standard"/>
        <c:varyColors val="0"/>
        <c:ser>
          <c:idx val="1"/>
          <c:order val="1"/>
          <c:tx>
            <c:strRef>
              <c:f>Resultados!$G$3</c:f>
              <c:strCache>
                <c:ptCount val="1"/>
                <c:pt idx="0">
                  <c:v>ticket médio (k, R$)</c:v>
                </c:pt>
              </c:strCache>
            </c:strRef>
          </c:tx>
          <c:spPr>
            <a:ln w="28575" cap="rnd">
              <a:solidFill>
                <a:srgbClr val="FFBE00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lumMod val="75000"/>
                  <a:alpha val="7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Resultados!$B$4:$B$15</c:f>
              <c:numCache>
                <c:formatCode>[$-416]mmm\-yy;@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Resultados!$G$4:$G$15</c:f>
              <c:numCache>
                <c:formatCode>#,##0.0</c:formatCode>
                <c:ptCount val="12"/>
                <c:pt idx="0">
                  <c:v>51.86</c:v>
                </c:pt>
                <c:pt idx="1">
                  <c:v>47.9</c:v>
                </c:pt>
                <c:pt idx="2">
                  <c:v>51.78</c:v>
                </c:pt>
                <c:pt idx="3">
                  <c:v>78.87</c:v>
                </c:pt>
                <c:pt idx="4">
                  <c:v>71.790000000000006</c:v>
                </c:pt>
                <c:pt idx="5">
                  <c:v>53.4</c:v>
                </c:pt>
                <c:pt idx="6">
                  <c:v>66.48</c:v>
                </c:pt>
                <c:pt idx="7">
                  <c:v>52.66</c:v>
                </c:pt>
                <c:pt idx="8">
                  <c:v>54.59</c:v>
                </c:pt>
                <c:pt idx="9">
                  <c:v>56.33</c:v>
                </c:pt>
                <c:pt idx="10">
                  <c:v>54.97</c:v>
                </c:pt>
                <c:pt idx="11">
                  <c:v>54.45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7-4792-8753-862D5E3DF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86420143"/>
        <c:axId val="1886418895"/>
      </c:lineChart>
      <c:dateAx>
        <c:axId val="1305806031"/>
        <c:scaling>
          <c:orientation val="minMax"/>
        </c:scaling>
        <c:delete val="0"/>
        <c:axPos val="b"/>
        <c:numFmt formatCode="[$-416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5802703"/>
        <c:crosses val="autoZero"/>
        <c:auto val="1"/>
        <c:lblOffset val="100"/>
        <c:baseTimeUnit val="months"/>
      </c:dateAx>
      <c:valAx>
        <c:axId val="1305802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5806031"/>
        <c:crosses val="autoZero"/>
        <c:crossBetween val="between"/>
      </c:valAx>
      <c:valAx>
        <c:axId val="1886418895"/>
        <c:scaling>
          <c:orientation val="minMax"/>
        </c:scaling>
        <c:delete val="0"/>
        <c:axPos val="r"/>
        <c:numFmt formatCode="#,##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6420143"/>
        <c:crosses val="max"/>
        <c:crossBetween val="between"/>
      </c:valAx>
      <c:dateAx>
        <c:axId val="1886420143"/>
        <c:scaling>
          <c:orientation val="minMax"/>
        </c:scaling>
        <c:delete val="1"/>
        <c:axPos val="b"/>
        <c:numFmt formatCode="[$-416]mmm\-yy;@" sourceLinked="1"/>
        <c:majorTickMark val="out"/>
        <c:minorTickMark val="none"/>
        <c:tickLblPos val="nextTo"/>
        <c:crossAx val="188641889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5 marcas mais vendidas no mês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Resultados!$N$3</c:f>
              <c:strCache>
                <c:ptCount val="1"/>
                <c:pt idx="0">
                  <c:v>vendas (#)</c:v>
                </c:pt>
              </c:strCache>
            </c:strRef>
          </c:tx>
          <c:spPr>
            <a:solidFill>
              <a:srgbClr val="176C8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Resultados!$M$4:$M$8</c:f>
              <c:strCache>
                <c:ptCount val="5"/>
                <c:pt idx="0">
                  <c:v>CHEVROLET</c:v>
                </c:pt>
                <c:pt idx="1">
                  <c:v>FIAT</c:v>
                </c:pt>
                <c:pt idx="2">
                  <c:v>VOLKSWAGEN</c:v>
                </c:pt>
                <c:pt idx="3">
                  <c:v>FORD</c:v>
                </c:pt>
                <c:pt idx="4">
                  <c:v>RENAULT</c:v>
                </c:pt>
              </c:strCache>
            </c:strRef>
          </c:cat>
          <c:val>
            <c:numRef>
              <c:f>Resultados!$N$4:$N$8</c:f>
              <c:numCache>
                <c:formatCode>General</c:formatCode>
                <c:ptCount val="5"/>
                <c:pt idx="0">
                  <c:v>715</c:v>
                </c:pt>
                <c:pt idx="1">
                  <c:v>692</c:v>
                </c:pt>
                <c:pt idx="2">
                  <c:v>581</c:v>
                </c:pt>
                <c:pt idx="3">
                  <c:v>405</c:v>
                </c:pt>
                <c:pt idx="4">
                  <c:v>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6-4CC5-98DF-5CAE1CA2C88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928149903"/>
        <c:axId val="1928139087"/>
      </c:barChart>
      <c:catAx>
        <c:axId val="192814990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8139087"/>
        <c:crosses val="autoZero"/>
        <c:auto val="1"/>
        <c:lblAlgn val="ctr"/>
        <c:lblOffset val="100"/>
        <c:noMultiLvlLbl val="0"/>
      </c:catAx>
      <c:valAx>
        <c:axId val="192813908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928149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5 lojas que mais venderam no mês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Resultados!$Q$3</c:f>
              <c:strCache>
                <c:ptCount val="1"/>
                <c:pt idx="0">
                  <c:v>vendas (#)</c:v>
                </c:pt>
              </c:strCache>
            </c:strRef>
          </c:tx>
          <c:spPr>
            <a:solidFill>
              <a:srgbClr val="176C8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Resultados!$P$4:$P$8</c:f>
              <c:strCache>
                <c:ptCount val="5"/>
                <c:pt idx="0">
                  <c:v>KIYOKO CILEIDI JERY LTDA</c:v>
                </c:pt>
                <c:pt idx="1">
                  <c:v>CLAUDINEO JOZENAIDE LUYANE LTDA</c:v>
                </c:pt>
                <c:pt idx="2">
                  <c:v>NILFA CID SILVANDRO LTDA</c:v>
                </c:pt>
                <c:pt idx="3">
                  <c:v>GERRIVALDO ROSIELEN VALTEIDE LTDA</c:v>
                </c:pt>
                <c:pt idx="4">
                  <c:v>ADO JUBERTH VALTUIDES LTDA</c:v>
                </c:pt>
              </c:strCache>
            </c:strRef>
          </c:cat>
          <c:val>
            <c:numRef>
              <c:f>Resultados!$Q$4:$Q$8</c:f>
              <c:numCache>
                <c:formatCode>General</c:formatCode>
                <c:ptCount val="5"/>
                <c:pt idx="0">
                  <c:v>56</c:v>
                </c:pt>
                <c:pt idx="1">
                  <c:v>46</c:v>
                </c:pt>
                <c:pt idx="2">
                  <c:v>40</c:v>
                </c:pt>
                <c:pt idx="3">
                  <c:v>40</c:v>
                </c:pt>
                <c:pt idx="4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6-4CC5-98DF-5CAE1CA2C88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928149903"/>
        <c:axId val="1928139087"/>
      </c:barChart>
      <c:catAx>
        <c:axId val="192814990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8139087"/>
        <c:crosses val="autoZero"/>
        <c:auto val="1"/>
        <c:lblAlgn val="ctr"/>
        <c:lblOffset val="100"/>
        <c:noMultiLvlLbl val="0"/>
      </c:catAx>
      <c:valAx>
        <c:axId val="192813908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928149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Visitas</a:t>
            </a:r>
            <a:r>
              <a:rPr lang="en-US" baseline="0"/>
              <a:t> ao site por dia da semana no mês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Resultados!$U$3</c:f>
              <c:strCache>
                <c:ptCount val="1"/>
                <c:pt idx="0">
                  <c:v>visitas (#)</c:v>
                </c:pt>
              </c:strCache>
            </c:strRef>
          </c:tx>
          <c:spPr>
            <a:solidFill>
              <a:srgbClr val="176C8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Resultados!$T$4:$T$10</c:f>
              <c:strCache>
                <c:ptCount val="7"/>
                <c:pt idx="0">
                  <c:v>domingo</c:v>
                </c:pt>
                <c:pt idx="1">
                  <c:v>segunda</c:v>
                </c:pt>
                <c:pt idx="2">
                  <c:v>terça</c:v>
                </c:pt>
                <c:pt idx="3">
                  <c:v>quarta</c:v>
                </c:pt>
                <c:pt idx="4">
                  <c:v>quinta</c:v>
                </c:pt>
                <c:pt idx="5">
                  <c:v>sexta</c:v>
                </c:pt>
                <c:pt idx="6">
                  <c:v>sabado</c:v>
                </c:pt>
              </c:strCache>
            </c:strRef>
          </c:cat>
          <c:val>
            <c:numRef>
              <c:f>Resultados!$U$4:$U$10</c:f>
              <c:numCache>
                <c:formatCode>General</c:formatCode>
                <c:ptCount val="7"/>
                <c:pt idx="0">
                  <c:v>340</c:v>
                </c:pt>
                <c:pt idx="1">
                  <c:v>5316</c:v>
                </c:pt>
                <c:pt idx="2">
                  <c:v>5830</c:v>
                </c:pt>
                <c:pt idx="3">
                  <c:v>5371</c:v>
                </c:pt>
                <c:pt idx="4">
                  <c:v>5365</c:v>
                </c:pt>
                <c:pt idx="5">
                  <c:v>4878</c:v>
                </c:pt>
                <c:pt idx="6">
                  <c:v>3480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6-4CC5-98DF-5CAE1CA2C88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928149903"/>
        <c:axId val="1928139087"/>
      </c:barChart>
      <c:catAx>
        <c:axId val="192814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8139087"/>
        <c:crosses val="autoZero"/>
        <c:auto val="1"/>
        <c:lblAlgn val="ctr"/>
        <c:lblOffset val="100"/>
        <c:noMultiLvlLbl val="0"/>
      </c:catAx>
      <c:valAx>
        <c:axId val="192813908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8149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</cx:f>
        <cx:nf>_xlchart.v5.0</cx:nf>
      </cx:strDim>
      <cx:numDim type="colorVal">
        <cx:f>_xlchart.v5.9</cx:f>
        <cx:nf>_xlchart.v5.6</cx:nf>
      </cx:numDim>
    </cx:data>
  </cx:chartData>
  <cx:chart>
    <cx:title pos="t" align="ctr" overlay="0">
      <cx:tx>
        <cx:txData>
          <cx:v>Estados que mais venderam no mês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Estados que mais venderam no mês</a:t>
          </a:r>
        </a:p>
      </cx:txPr>
    </cx:title>
    <cx:plotArea>
      <cx:plotAreaRegion>
        <cx:series layoutId="regionMap" uniqueId="{02A53EDD-DCFC-4A88-B213-71274D6215FF}">
          <cx:tx>
            <cx:txData>
              <cx:f>_xlchart.v5.6</cx:f>
              <cx:v>vendas (#)</cx:v>
            </cx:txData>
          </cx:tx>
          <cx:dataLabels>
            <cx:visibility seriesName="0" categoryName="0" value="1"/>
          </cx:dataLabels>
          <cx:dataId val="0"/>
          <cx:layoutPr>
            <cx:geography cultureLanguage="en-US" cultureRegion="BR" attribution="Powered by Bing">
              <cx:geoCache provider="{E9337A44-BEBE-4D9F-B70C-5C5E7DAFC167}">
                <cx:binary>7HzpcttIuuWrOPx74EICmYnMjq6OmATATaJkLbZl/UGobBn7vuNtbsyj3BebA9quImmW2O57Oya6
56oWiQSBL/Pbl5P866fhL5+S56fq1ZAmWf2XT8Ovr4OmKf7yyy/1p+A5farfpOGnKq/zL82bT3n6
S/7lS/jp+ZfP1VMfZv4vhk7oL5+Cp6p5Hl7/7a94mv+cX+afnpowz27a52q8fa7bpKlfuHby0qtP
eZs18+0+nvTra1U9TWHy+tXT5zTMnLBuqvBTQ359fXv3+tVz1oTNeD8Wz7++Prj++tUvxw//YSGv
Eqy1aT/jXs3U3+imZIYUr18leeZ/f5+RNwbh0sRFffdjfCd69ZTixtswf7WsnrLPz68+56/uWqzz
z9e0W9HT58/Vc11jO7vfJx9xsJWvO/0TpoR1bn9ll53PG1G3u53/ciiOv/316A3w4uidPYkdM+7c
pb9XYHdvX2LOTwrMMN8w05RcCvFVMORQcJS/4YYQXOjy6w8E+1UyXwV395//J3/19qlN8u/vn9Ki
0xLbv/dIVPMe/w1EtV2+xJWfFBWRbyQRnMJhnBaV+UaajOMz5tfr5nfiX0W1DbOn+tXyuXoK6+9X
/n5hHd59JK55n/8G4rqzX+LLT4rLsN4wKQXEhV+7nyPLEm8YJcLQ2Wlx3T1lzdMr+6l5qiC4lxb2
J9Z1dP+RyOa9/huI7C0c9Z9Hip8VGXtDTZ1aUqenRSbfGIIyQmBl30W67wzfPiGE/ed/vLSi07L6
/cYjIc27+xcU0r5ADpb/s+kE0d+Yux8d+cJBPmG+MXZOzuJffR2u70vie7Lz5ys5LYjv9x2s+o/c
6Z+TJvx5CvF7ruXADbi7JG0vi3j56m6DyCWPbn3JWr5ya/3519cG48Lak9b8kAMGv32usqf0t/bT
73F/77bnp7pBMmjINyallEhYlGnphOCJ/fPuEiUQLEKVJSyLSMvg/PWrLK+a4NfX+hzlTBigIKZu
Sfz5+lWdt/MlTb6hwuCGtHZilxZu+77Nt3ky+nn2O0++vX6VtenbPMya+tfXjL1+VXz92LxYBrKG
bpmMmsTQOScWFlF8erpFWo5Pk/81+dWYsYDcXCwer31XrZdqvbherNVisV3c4metlvhLua7rK3uz
2nxZFXavvjir1epLr27uLvY4eGI9ZKb30nrAr/31UL3rvAjrcR6c+8VSuba7cl4mwZADvEgC6dw+
iTjXBpOEILFdbdXDwll0Sq3Vx+VC3aqFUqDprGzHubCdi8WNrdwL58wKDIjvxRXIwxWkUVVTPSI3
28X143pxvwB/7Sd7tbHvzlAi5hl+Cv2QVG0Ultdhs1tI+AK7m+U6/4Pf14+L7cq53qr19nG7eNxe
l8pZbLePj1iRulyu1e36drleLpfucnmprtyVvbEvVtCEj5eX9spW6lLZVyus2lmBYSvHvrmwla1W
7ubGvrhwbKjL6mXRndMOgUx9X3RNXSVGA+1YODcPv1376lq5H69sXZ1jm5wl8IIaCvjWfUJxZ1ld
DgldOFvHcbbXMIktrGKnkGpRqmvI7DdYhQLDtvMVfBAGs7hVeGuNi7MeQZ9gTupK4RL+mpV5vV5e
4ffqDrx0NvbNFnyDvW0Xs/Qdx76yF4u1iw/i9WZj27MOLrbQkevFzNBArSAx3AN5LRxI5AIfBPcf
ttezEK4d3PMyy88q0GxNew5C+F6uWeAESGKPWJ1abp31jhUKW8Cq8K99RgAmOSeA2YT2yE7W2I/9
LOkHsHN7t7JnJuAP59qxL9brLZTuEYq7xn8OTHi9dN1S4c/FCizdOqvFo1o4D4vlYvHorK+vIQ74
tOtbX6kP8HALcBFycjcwiAd1a2/UTpvWy/X1+vZ57avn2/mhv91fP4bqflK/+WoNdVvf3l7f4uXz
MzzlQsEIru5gtPh9s7pz71ZfINjV6k7d367Xg1K+WsJqPlxeXX242qzcd+vN6vPdje0u7Rvb2dqu
e+eop8tZgtCzO1iLcjebSziBzQrsduB3do4IO/8Ch7R1YF2rlY3traExF/bKvYIm7D74/g5vz/Z5
51zcPDw4zp39+YwezI7iJYuYA8meQOqyLgJrFghcyAMYAUWwL20oqr26wFpt+1wkYLOrf4niUWhK
G2FG6Uzxeg31t7+s1qGCQGdFh8VdY5OwK7yEueB/agPJzy+d68W9c7++3ToPOYS+VA8Xv832gwVf
L9Xy/m03e3iY6S2Uxr5zYWVuodyrp0htoGcbxzGUcwNP+CjVO/dqtmtHrRwXoUBtZm9wxsLI7LRe
2udRyPNIU0YT9rl1Hu/Xs+nfvSw6qs/G8hKFo4iHuE80AgoXUJxrOJw5DlzMvMMuZwcE1YIiQb9g
OVC0C7AK6g23hZfgB66toJNbx93gT3x6sQb7V7iK+IG/YQk2bMpBvMYj8fj5I4sc96/vITw4C9je
ziHOFNcL+xEfwRKUDSnMH8cLV83mtAJdfBZPfLu8xuNhAngUTHm9dmdvu90+OIhX63sFRuEeBKNZ
A+E5sTjcj+fND7Mv8QdcxBYrgikiq4Fc37ub+aPuZg35X+28Fna9WubYPESrFu4K+jz7+dmHY21L
3HlrP+GpMDp7czWb9swmMGq+G4qRwuNAXDbefllkh6rPKbqEusF1VM0c6Z9kR1E7pMSbpBwD5fPB
v/KnzrPbPu0utIB1rs610B6HIXBfJnqoJd+ISsIMkxqUG9aRp49E3rA+HwJVeUZ8ExdT4k5iFGe2
dphwfqci0CE1TeyMHlExZenreoKtBaInvUqlpmVqGllr6yzLzxA7sSVCTWbNzDR1cZwvMO551lTq
gSJj2NtelnrLnLN08TLjTmzpgMpRslDluaFBhoHqAg876gtxS7Q8coOh8TYvkzq1IWkxwnSKnopl
HZFqWxLwyktCZVmSLXu0XlTZTta5Dek/KqBpUILKxeAmk4QeefspkToxKWmUUfLUd4zAintVGJP2
IRF+9l4Lc1bagU99bSF11m0bozMapyw93VJ1k4zvhUHiwe5jLQrWo9myp7FsB+I2XmiYauhbnio/
413jFlbAfeULrRyWwzT0kRM2hDUqKfQovQkGamS2lY0esSkag5kSmp6XTiLBYaUXcTvYtRDjpFpi
tKkSScy+THnfZm5aVOlqJIPeuxWPm1K1XknJUiZG/b6XTAQbw+hopHwK3Rvaqf+ci0xWdh94waiy
KW1M1Qxpm6heayqiDE6tUTV6nV3rWju8N2szzbeBNo2JPQU9kyrgPazHZMHYL2oR9lQ11IhzJbjv
14pzNgYOlVlZOVrF9EZV4UQTOzTH9J2nl5anUhqIzM45NSp34l7YK0urkso1tFI+dEFSfswrq+mc
aCjzSXmhGYd2aMWFdPVA0u0Qa71hR01REtUEJincOBZB4JhJLD9PequPKi9yltkZEUOqxqGtqxXX
01RXnjel8bYMaFPZljZ2bGGVVXSTdDnRVJXr/AvnBfmSRiUjCsnxKLdEoPPnjq0Rao4mC3nVxKQ0
V0keylAVzOS520ZFdZ0Ufi8UjVP6lBl+cVdbRvLRKsvktypjYnSsSnStU1Y0ilTH9Wg7EppwlwaN
X7/r0jzwFzyjw2A3Yoh7OxpY+SVrui7DTmUP0zZoFrpFMU13VdwN3G60eQVZnAeXUT9QTQXtZHZO
ZZTBYyxkfEWyPO2dKY9p5ug+AVtC6K/m1uPYkIUp++Rj23bGaEeBrLed0PNW+WUaJ8osqHQ8LREO
L+vWd2ViymSVFl38QQ4GC50U4prsKheNbidpnkUqpCErFUQl79I6L6rFKKYqc6syDH27h8I/U5OL
bRr5Rq/GTAyjiuNSS+2kb5p4VQfx8LFsuoYodBnSy1ErRs1hrLS+0LjwqYIqNNkVZb401nHdt4nt
kaS7GXUiPyWkbwLVTmHfKBE26a3Giiq+HzroiIsIor0bRlGpYsi70qkmod2UPs0yVzNpu4lZlmYL
oYmiV5I1zWCXsKJRcb2M3udhKYVj1qMBW9SjJLG1jntb00hZqpLUHyO78IwkVqOmTUwFlObCrSoB
bpEmqm+4MEWrzKHNbnQRWp3iJOuCVVVbdXXZmg1L3UhLc93xBmIGi6oxx151TSF1peVWPdiTIYs7
T6TyQ6SHxifiETE5tc7Kuzqr2uyq6vu4UFXZZ4mtG4Oxajwv424Zy7ZahFRL3k5lnOlKN7O4XIkh
NB7L3BOxM5bpEFwN2ZRdVpa0YPddq99mkwZXK+s2qhXlKXvX9EEpEbKStlP9YGXvap34phOXdAxX
ZaSNhQpFViVO3oYptXv4lElpZpxcNXle9U4xBG3p1AMNG7u3EiNV8VCG0k6yyv8Y6335sfVIOjl6
VmWB6/tjz1Sf5X5sa6MIfpNlMQyqoFWbOnkQevdtnlBVpykkMRWTVSiPFBPeET0PHN+Mq1hNkUVG
Gxbl1wteZP4mgOC/GIXXXHjayENF9Wm4Lwqdfx7q1nvPiCebtT9yaSmzDP172ZnhY5Dr5fvK6lmu
TH/UPpfc7560mCYjIrpu3tEyqUqVVTL8VCbQVpWZvvZOh0k+BXEWBC6rYmObxBXpVE28NFdeV4hC
MR7m76xBBMwpBa0ru+Z+uGnCqP3owU8ZqvX79H1Qmf19k7Zj6gxTU9wGVmbe9ElUporThBpuGXnB
Vde12mT3iCBMDWklqgVPgnI1lFNQLwKv6ioXDJDFosCwKbC7Unrv6lHzRpdEsXimCUvvipCTRCW1
xyKovOfHy7As+lWljX67gv0gaIUt9a5CWRjPU5HVrS1Mb1jlPpWa6ltY+Tr2Y/ZO06Vgi4bpfBEF
Bc02lqHTVHWSmB8yHzwC38v2yo9yXq493RvvRZZlMzdzOto05VGofFlEHIyiQneNQqNsmyTFxRib
5UMddEaFmDHkDN69DgebRXFlKprUXWT7ovQuTGKxcqN1adEgoukDVSTS6JqZfmk6pmFMwiGcEbqc
ZDfEdqrzPHA0wXxrwYeIv7eIYaHrNySmdxW3aXZRwGfqKizbynOMNmyfmo7Rh5r0UaeigkWVYgaP
n/oqraAlAQk+1DqWZod6GiynLmeh6qay/qyFU1IqXg1e73RR1sLRxEXT212RNpMt6WjESm9b7K+v
fdhP2WgQfKlZ/ic4Hmas9Vgf3bQt8kDpWaDHyouk9pvfeVAufSh0YvtdndxinjGZKuZQNzscE+o5
YwpPY+uTFQ5OTrM2d3qakBiuIvLihWeF7a0WSMToXtPSQGXhxOWSkDIckJIXLHEDP678RR7XSbbx
Qw1uQePYgjPVRnBv1WOTqSKv5RdN0qG9xKOC+0h4g2FbjZa320iGwXVFtTRFBlyxTGWjkTdLPxVB
4kwpqwY3DWQOmU+pr4EtHXI+dIV1Q1l9NVnrsUszDoOvubGqmVHXt35WiWvSjLxWUeInl4MkeagM
jXR34xA13sLIC/LOgyKRRd9HxaAG74PMo95UWmZik5WRxZ+sIrVMZ8in4N3oh+m7vJvi65EW5k1o
TsUSCtstZTBqwknyAPEhnsznwphF3uilcSM0ZPwqIaY22L7hhXdZ3cWt3cmQ68i/oSqFF4rEGUng
PUZF3U0LXmnRxhrHrrGbPGsSN6Vtz1VacCLtyCwbplLd9Eo7i4omduJeF4WThSMypTFIfaZEbFUP
lRUjZk6RCTWzYHzEtohgVy1LwsGdamieQvZhfvTGorziLfOuhzGH1tXpLHvdENuuHvvnvBD9/SiS
TNiF1vm6GuPMq20fWn8ZiSp5pK0ef25j3fQdjXv5W51XI1e89CpYiC7rETG9DbszPYIf0n5wTRoc
PXpdEN0wjgr4tGyzOg2sBxnGo1OaSIYGHsdniPxQxsxEKMc0AKRQMB33W8yQ8kgg+iAEStcsTbYx
WzL5Nq1CBOtdIfNtjvP2a/fh6yTiU16MVegH3/A7v7/82/Y7KGiHIPnj/RkB9Mer6+65atrq+dX2
qahfLdrs8w4XdHzPTPn3m0D420rmqc3Bix9GSN+nJ0dDoq+Qoz+5+PdNkAiktVfe/TBA+t/Jk58/
1d/HdvNA5ust34ZHJnuDatyyBDcYFcKYy9dvwyNTvDFMy7JAQWccgAgI69vwSBNvBOHzdIjDsRNT
cBR336dHmCZirMRRfRNCdFTh4memR2RXQP/RWZqreS45RsEccyrG9ON6tPKR0ni+n6uI9HQ5t4r7
u4bk7aTQvjMeBjrBVzadGIwrKqaYqIomRqFMlA3echomZB3dmNXCnqBkLcraTES6ErnRPI/wrXc8
C6LkLugEEo8i07WFFrb8bkA9cOsLf0pUk0d5B2dRxBeaDBBXTfilXJVRSC23qvMkWuql8C6Djvv5
vZk29LYdWytye70bopVednX4QaaksBYIIHq/INpYMtugmm46tPCn0OWx1dqxaYBYbMn34y57RhRA
Ji3npNqKPH1AoIj8i6aTLFHanIALRpvEzsfBMtZJ3FbZFdvl6wQW+KUMygFZ/JzQc5PXRMWB0X8s
aFjHK70Y5zAV56gEjApBVWWEwD3NpYJGqsC3Rywxc40qyqtFNBcWwa7GCBozjZSZh6g9vL4qJ7to
OQ2dbC5PhqIWyWpqaW8seq+PHa2YCxpLD1DcxLs6Z1fy0Ln6aXaFUGiMreaSXYFktpmZOUFRJr0T
zTVUNwj/MdwVVvGuyMrneqvdlV71rgwr54qMNTQN3Yw1KIzzXdHWGUX5pd2VctaurOt3JR7blXvT
rvTr5yqw+loQ6l7bOhnaZKMj5pqx9vLkYz7XkT56JE/prrjs5jqz3JWc6a78DEhemCtvrkrL0Qg0
Z8ATqGshfsttWxFK1IiOzReziPmXQA66psRc72Zd3bJF2WnIP41MxPG2J3rNFixBPqvapI5bBIug
y9XYFWOMmBdam9SKgtTNM2ah6MmEdpfJHmlYxfr+Qch+GtdNPpWTkwq/R/oQz1mN6FJ/sFOuNZ2y
UPRPm6GfunKV1IE32YNP0WixSIssWC+LEokTakZV9lV4M1lV705+ZAmV8ZJ8tiIUXiqTVm5cGBXa
HUpaRREgWWDsvrGyIlZ5WMlUWV1MP5nm3Dlg3IpaV4c1VKoMmJmsdGY1g5IobWNVaHnZ2kmrxQR5
VxqWamBtLVchqVK25KUvIpWVLP7Q8JBkNuJ5YaqAaSVZ7nnDbyHiYDh90LaenQt8CjVm/4eYpB/P
podEawx/gpHndcc/k4EG66QG55RWWfxrPPoKXjxBixzON74T4wZ+YE4GOQqxfS4mOnYU3Z4yzRwL
rlWzGbPqy0pLy6vRG/NFw9t2JWRk2EMYGWu/0JLV/7dR8QA+sh/iTPQsf0fU/hATv6NP/sBhzJ//
jqZAaKMWR6MPYAWdUY6p4beAaAH5B9CfQdEVRfQDmvP3gMjeGFwy9NGFBegtRuR78dA036CbilAI
7QLkCbCKn4mHhxkUQ0KKljboU8swiaDyaDxtan4WGUBUqJI1iYmuYNNUy7bNaL7xJxY159q0B/Yx
k6PUBEQE6opeLIowXN8byRWa5bVxQwdF4npkn4ckJjCWzAs1eocqtJo+7UnihI0cZqE7evCplsAO
GTBgMx/36elhFldjUg6q1PTstrFMfl+GPDpj9efHVfNseG9f/zOu+n89rjoHaJFH86r/AqBlLkL+
SDh/wCsdm9g/igAxD8PBj3TghPZ18L8+7j4zBZbmIcGfngKfhQLJ2bz3zOpfGwokjyZU/whQ7Mid
H2Pj5FFB/E/Hxp1DRCBYHUjwXxURcQ6hN5+k2dfU/36E3ln80Q4gtmcs/4M/+mfjj152/GiEHerE
fw8OjZwBAuKk2iHZf18g4GHyx02BfBZlEfDGBkffyTqKHt00SV9HG1IJQ+ucsSk62zJp476cYh5K
+RsVE5BkHAuRKMWOLD/36sITZlorL4uk67UaU1U2JI/+MJVOGEvt6mV6P+6K6Uj+0UUjVFAUCIfi
TchkMTlgBtpWki5C0Q+LIOnImeLyFBWgUNDJwzzJYHNXcN+fkVaEUaV7lYpoYHzQwzJdN8UwOS/v
5UfesfngIbNQhCA9F0dpc1UmetBYslJDTAPLRltjbu1UjLUql2NeK1L2wf3LNA9D5CwvRnTGDKEL
1FHGfEZhf2cyM8si7cZK5WVmbHStZGipx9FWbwU/s70TpFD5oc4BcmgOzUdMNIpUz9M2BqmkKzA+
y6ZFEbaFXUdpcgZlc4KTaAgA/GKBjQDaH3GSFRxtnCytVBfW0boNI77iKN8uaW7K677KrdXLXDyh
H/v0rCPfNqI/lPMO9KqMTMUqJV6huejrhGfonGIhM8iM8cL2cODxUFpeKqZxRu4omZRBZ0fRFI1O
gy7eo+mj+fTypk4xkVlcSLSZdcHEfH0vgsqy4qKOxlL5aHg5bVcZVwHnno1W9+jwQVD7ZXonNydM
C8g1S6AnfmTKHW090YRGqUjSUsXQpnEB67CUH07+GXs+RYrr1Jw7UwS1wlFQIBpjsTbopRorPXEa
I+FXdTQZSqZ+dcbA5pTuj3pnZ2B8n9SRgXUY5aMHjF2xKb8OAstfCsxnMJI16WVPY4ziRfvwMiNP
aeM+yR8YGWpDDyyPIoGeYvjjsQWOUvtnzPkkFTS7BcfYCUjHI12sZRFUkxYAfRLK9m2cF5Gticy8
/gf2AmWHMXPKrOPjDx7zaBlIq0QLMQ2BN8n5IuxyfqZlcUrVgVjBFAaoGksel7+VtMIqLHmJxiQG
JjZQLvEm4an3JS3q4F7CXzVnjOukBuJIMjA/eCKlRx4j0oKkCrlZAmFm8WXStR8Zpb8ZpWG5P89A
S6c6GqJwuYY1L2TPijlgjX4PuJEKPM2y+7QWDgblzRmDOsJAz2oODLKkGEhxPgeSI48baCJsE5ah
HW0Cu1BnZm+zKYgA6yr8Zdbnpio4W3peHC9N1vSaKrusVZNOgzNe5Ee15DAdjhkrI7t05HC/Mkxx
AqlDlCEYRfObrKZBvQ7MNq3PSJDMZnRo2aDEkesYpmCMHKceQ+2LgAx5pYIwiDd6YnSLsizM+7yr
tj7Xhk1VF7lbxTlRJujbwxgHNmTQkEau21Erz6RCP3oaieAKiwSIgOJE7pHZ9yPyI60bSlXoApiA
3pcpV0bTA9XU6z6GdmHV8du6bdLhjPR/5DkoG0BvCiHNH9Oj0TABsySIFIOZC4DnotieMHA6I9mT
+9ujcqRiGNjIyS/htHGspHNaPzHsvvS0ZUp9DIM+AghR/rSLw74gYDCOW0SXR75bWH1mIqMsMe4U
la3JgdodBTDkZQv90fmACuavusC8F13xozib5YYX1xbwrbEv+W0uxtI14xpjzzaJfmvCalq8TO8U
H6Gy86FTBjs59ghenOM7NhgiEo96WjhdKbQLw9N9W4i03hrdKBtn8JEFntnnObpH++StP5RlTkvA
C7PqIurzfF0A2bmNWq26aDFutfU4Imfc3ynmztkm0ONI4AElP3QHQyFS4NkyMDck7KEB7rd1DdlF
yz6TeqGCTGs+vMze+YmHbmE3mzdNlEAIi8e5YGv6fcZqv1SdV2eAmQItjLFuB4zO8PNpJ1JpZDCA
eAMswNiRRcR0muKe00KNgI26ejy1i6FhP59MA+U/AxGQCOKkPz2SWzbWeU4N4CE1q+iXZowZfRxZ
N3oZM5VU+hntPOFLDqjNWrQXr3rf4PXA4a30MAFm3AQ8mtueUU3jGc2Y85MjOVkWThbM2kExVjrK
X2DHYRIEU6GSTq83gdDSZZ6l+iZPmQConXf3A7BjsUpxjK3/eVPAd8hgWoX8GgW5ebRJKx6ApWgQ
/SetkXcJkHDXQA21NoBY5Tqv+BSpIvDYmR2f0EyJvgsihGEBlWAcBQjUJLwxSY9UlHitKoB8VgWJ
AhXqnfbzvhpnn3fZNUeZsju1vCdFUdRjTf0CCVWQdxe8Ldt1ClDwJqRyRvJaQDUnAGCfYesJkaLF
gb4DEhHBjN2UY49qFZTGhK81gr9uueGrJAyF04d5vWG52V4NNMfcW8jaLsMuPEP6B7Wdgy6npkGo
gZCx6/zukWZenxVlCY/iR8DCGnpmLtCL6bY/6VtABd0HnCgCjAyZ6lHWWHmDWfUTdHbCGYtcAc08
OShxk5VZWNnly7RO7QjeBemnANJO7ubtezuK6Qx8L5pCxTIbCpxS0abHTjMS64yq/KCV856oaUJk
6AzwYycWThEge3oLADEBNq4uRnqhJ226LnG64YxvOUUKZ/ipbvI50FpH/rLpvSzP0xSkSpznQNtD
c4pp/AhE9HgmOTzFPORCMAGc9Jm/IuDQi5WAgYaDUQDATvXQrTTkugEA52cM+gSVOcwgNIJ5Or6F
4JBK7VuBxDEEuDA2DUrndaDKPBU/LyAk1HM/DzSEcTyxG4lfGBFgO6pnHZJLOCo3H0R045X+9PFl
nTshIHxrAvaDiAOIwG6usKdzlpGWgeYD90/L1ls0cVMDtwUUNFoiZ06nnmLdPqX5+h6lLB9Lbxqj
QknevRcAobuZ4RVn9G2OjAchRiLpQEUJ/we/ixH/IRHSDGWK8ze5IjzXL0uc+rlLzT5fS5/RSeX9
MCxf5h8xTlEkhiHxpRUEVI80fCqTKOlLUKS+BANLEjhDlsW2JzvA3wLmBats6Hx3DJlcZgD8ftFG
bVOzrFgEZh/fvrycU0yGIDkDwkEngFQc7t/PkrQVHjTHkt0EwJoWuWgRPP88EYtxg1psPpR4fB6R
l/0U1gVOMwxhZeBcZR/xBgdJZMHP2MEpaVoSaAfTkPAfxwNLj+K4iTlCObMoG3C0yORK77UFYd0q
A679DLVTvBNASkhhzZDe4xShHWo+pF1eKKth3kXcjeW6gBd1fp55Ag0PHBNE3OLHjW0rsSpz9OER
ozqtLvMWOLiBmeGZduyJvYBtKKLgESGoY87FWa7FwMvPeaoVXCW9pDYJWfCzrSLgf3R0IOA2UNuI
3Rch7Jm0mDqt0Wbdj0Mz3abjYDiFl4kzPvfHTsdMBvggZmGWgspt3uwemZRPOdNTC4jZ1gsvcZjH
XJAy2eTzAUKud1eiZ7eFpntuGVjeBfrdGy6L4kx8mRPEI88C+wY2GD0xRsRxIoAjsa1s/ASJAO8M
nMocgjp7Swemd5es7XvTHnqZhOuqk8a5Nu0JM0A1ACyWYXKGNGv24Xv71/KA6W0qgaBMgV21A52P
Tl+Elyb1qd3WHv7/0zqK4GOgB40v+QPTj3xaa1hDOunwIjQIQtXXZrWw0umcJfwYeghEig4ZNGj3
BXSH20LP2R8qC2LlAc71JcLK12OGcxrUk+fOaf9fzq6st06dXf8iS2aGW2ANmdokTdKkN1anDTbG
xtiMv/48VOeiWYmy1O+iUqVqby/Afv0Oz/D2DWKpNECaiPoDXKHt3/96g4iVMe0jvEHdROBeLlqa
NKdQEHjMbBD9qqd2YmfO+faOXu8XtKp8EBHBCAYx+BR4UDcmmkEW0nmnWgIOq4mezDCtP8yQyNLz
lP8DbZD5qqsDfWx73377+BO+3a5egAYKuMgAn3mIaq+fuFWGVuM0gPAr+6qUcfJL9sk38BPj3GSq
zYfwXFb5NuRsK6JoxTQNXdZNgOnvd2wnLrjvGZ0r4qNoNQB+4qioM8HgTcEBZvUGocdB8Le75yTN
84ULolA7nfeCgDaaKs6fzbq0Ydl3LLw1zbjyHBRe9IwSKcEt+fi1vrNnwTpDOoscEN2jU/xgv3ZJ
o6BzkxPJzD4CMtkVGfPqB237QJxZ7J3Ah1EJSuUk/kOWPy2YAx8kwclRHPzY3iIuNg/gFzblGPbS
K0NbR18asJAmsJIm6/Y+A3U/J9aax7oPVXem3nrnzWMeC4wmRD1BED6tGnwJbdjVTAj2BoB69M/d
jylGPq/onOVyYc2NTZ88U9X/fJXhJWCMjs4Z8JpRfLKvaJvJyHTYydESSl24igXrIRs9bs+87ve+
LQovYFADlJNvCPytUgLIeaXzClTOx3ERQbJbvIxdOR4OyZm88b3FMrSt0IHMwDo5BcuA5Q6MvQPT
fUVn/bID/+PTpBJSjrGeHj7es+8EPzCTsAwGigmGfcHrg+mxMFoShedKRMJ+Cectj6lLxkOjpDxi
oFl//Xi9dx4NPXqgjiN0BMC9OimZZUg42KYacV0naUlqDDD7vsJEHf/Nv3+ydEO7R9ujoVt8sjd4
DDKDdULn2RL2VQ7e4MAw9lPBhecr9AI/frB3YmqKnCrcohx06f6MJ/66RcSsYlkN0N7w2lYUTNdW
5NBgmJDsp9b/5ZZ+pAeDu+ZM5fTeumg3YklA6AEmOb2O3eRJUJuw7gTObD4PPPzkLxg09orXj5MO
9XU61uRMcvfOZwRAASlAguQLf9n+/a+nHZMxbB0BTwnbdCmZwinvGqOLJLHnmATv7NAUcS7atPsC
cHtPdugaTEMygtSSM7uuoFGs/mGJx/QIsqwoJ1WRM42W9x4NZfU2PtkEY9KTRzNTUpk5zRRGnGF8
4ZPVL8GK1PdryuWZHbrtwJM0IEUWhVkD5EXwLk/u4TA2vqsWpnJacfkp7NE+EmFU7z/eme+ugns3
8iNMA7M/F8lf34q2XdPGEaKJEdLsICmSXtWknv65F+Zh6IiORIomLlh2Wyn81yq2xugtXjqsIqM5
KUA4kMsxFJirlUuUUnMmRL63K9Ch2uoYJBXhHyLdX8tRusb9wBG3iHNfRrfetdpMOVjoIOYYYc58
qPdWQ49vg1ChTYy67vXDgY0u4qDD4e4XU10q3gd721TJBZ3n7moFQ/XM073zyRCR0YkGSwdrnuoV
NYnfTTNIAfk0dh3msjX1x7LSHjuXRbyz2bHE1hhDjzakpxjmuQu92nGc43kck7ZsgR0ok0anPOec
9V8+3ojvvEW8RIwmAVLIMoynX79FSE/MylWpyuOsjlSJn2N+qj6MWM4IGrno/If1v0dH3NjoliIn
Qcr9RndHp1CfmH2Vi5GzoiFVGYJFjU5tRHYh68HZnr2p/Pgx33unSKrBsPLDrc+0vYa/tmbtBLiA
BNI6iZXQxGHNTrZBlTehf67Bfm6l7W74a6W4AywMqCBQ4wfHxwuEatC91dKMHfiOHT7lxw/2zlWT
JdtgdMtNcKecPBjYbamsracgerC6AzSmyC1UdbLSRNbsyJwtlyAEsq//w6LxFlZwHFAtnSzat9nk
8TRQuZ3wEjmgII/tEj/Wser3NDbBfrJ1eGbNd8qzTWYbEZOiqkfP/fV7temqrQjAEESl5OVVrS6z
bpZfF1YL2DEE7beopX0ZEdpf+NPcngk2b3PpbSqEEIqMGryr08NPQ53MgeQqH5LZuxt8aFfIuq++
E2aGG4jKsJ1lxt6Qzp65+d5GnW274qQgj0ZD4fQ6Ui4E/xb9yZz5AA5hpFHtRCD8u48/6NsogKoz
QR8SsDL00U7v1zFRA+c+OMVIqOtv1VqPdengdaH2IZv1NzdE1fePV3z7Qrc6d9OTinEHRqdxp3Yt
qWmPDKJ1vJ1yw1V0mw1rU+U9xir7KFARiNIVHXPWMXEOtfDe6n+yeC+CaDHy7NebaSSaci9EGkpB
I5VlQnAw0bvX9VSAG8y9nCu2bgI2UN86olns/f746d8GiQB3CHh6GEsE0Dw4OUAxJhJIkxEk/LkJ
LvDne9OF08Gv03T/zyuhRYrOEEY5fxrsr58UtYOfrRK3pGJZokq1ptMCqQ3M9PfxuIl1fbzc21Ma
YB8BMLvB3TZRp9fLWUEaMTuL68SX5hcuEGhZiKb0GoYOnFMa6h+LeemmpDuIJQifPl797WHB6mil
p0i+k43h+np1N8RxM1isDuSYuPK6mOaRUP4/H8ltFWgVIPHF7RyflEs4ISlQ2hMyxIlkl2IJP4H7
Ty7+h0dJ/e3UA+2ZneJqLLB+BKg0vMhp7W4BSmdQ8KJ0PIcFe+fko7nto1UJoSck1ydZFOanUTup
QeUVDaMyM6A6Zl5bXQDvN1+mqSP/nJICB0e3YQcEwVEdnaxnK3/RZvtEhIhgJ8dUforQ99qBKh7e
fvwK39uLQF5C12RrWAKX/no3tIJT1FsL7vxkshdUmBB6KWFb+sskLzrb00uDeftd1IvuBbKv3Zmj
8E6MQRqHV4quEwDxp9jgSELPpqdIvtlcET836CjehqkEp53OSf/g+yQa8yjk5iHk1dKfefi3eQEy
LFBYt7FxGkK+4vXDa7J2GClLzNVWTV/wMXgMcRgcxmKoK2kBdWya+4rM0f8QcLAw8AX4yAg7p71/
x7k11YgiYPGMLQh+4cWYrvWzlwzNmdz15Ljj5EGXA6hCFACI4cjsXj8jG2vVQkCJl3SyUeml0h48
PYozEfS0qff/y6SIZzTAoT+t1SDX31IeBLwUmFG4TA7lWK1kp6kghYkt/YR5orpsAnLLZjbvDaad
d2xw/7id3/yMk+AWdnRySG55yfu+hVxB0h+QGE4HnbTQZMvWnY4Dl+M0o/EGMOPu48N0cmP9WR0A
PyBWPHRS0cF5/a57zTUXycDLtKqGy8jEy45Ww7jXfDw3Znjvs/691Hau/86g1yBZonbk5ZBlfOcC
KBH6s9VnPutJ4PvzQNnWGN6kZ1H4nBwQMtZNVHNRl4xD6e2SAgXLCrt0TX8RLCKjX5LOsX/M5rZF
gaTHaQTHHE5Lm/fC348WLKHpI51VJbTyqpsI8KZy61ydSVbfebQE/TwfNAjwcZLTVHkAWYQRNJjK
DNKH7dXgyaA5Qjgl8Y+g61twgJIOEf/jDXIScP48GkaXG1ILa6MYef1omiWs5gukWNqZCoh1iG7g
a5GsdvJ66P4lcwZxy3qcDtVgMG3/ePE3WwbzfOx9oBUAtkesPbmS+9ElIWEqLCLjqiPt2VLEAL6e
WeUkoofQpgJIHGkUxrTQDz6F+wySg8CifQiu8aUaiwUyPJ+FmbMdiedNWRO3das6tQ/8tToTzt8c
PywNxaMND+djnBKehLpMaMoa0QaFR3Xt3fpRN5on7pxPoH9YJdadmUa9tx7OBe585HKAq5+cwRqi
rT4jnV8sTTjmcoJ8HmQfZBENa19+/O3eWQq9+wwtfACccA5PHq0DowtqiZlXMFQdO2bUWs64lxHS
TH/mA55kBNsHBAoCI3b8SeDHdLJHRRMbbx6gH7tYqq9qproDgfhc4UNt796NmPGzaRCFaOfgegqi
6cxHfHMut+UxGkFSB+QOdurrIwIB5Qw5cO0X2KTpgazOh85mj8Y0JQHyA03vPn6zb09FgAwLrxWb
B/niH/+BvwJpV80NEwxhDSKl4bGRatwZXrszL/XtU71axT85e00WZMQ0AYOYHE0gxhjrQs5A3nl1
djeOQXQmzry3HLqzGzgbRAo83+uXGCn0TjnUhksEMarEHvqgC6+LOpKBHPJUQVBR7RYnebj/97cZ
gAkIGOwmUxacHgm0GoHh90kRpDp+qRuMMbX9RzgQPhLUTgCKRkcHEyCc+NdPJ/Uia5j0hcWCx3nJ
qFYQQlbdmQ7c240BAgSN0YFDJYNc/OQdCvjPVJPIROn7mPpEKdc7wrl38a8vDKtsPSKMRNGYOm1N
WR1MdZcSUXahj8wMlNc9h9DUmf3wNnzECIkocUHRBN4k3v79r02OVj1bApOKkoyLzuua4nqbPHGc
IVh25rW9ueI2RBNyqgDFC8hCp1dcrzeWLedNaUAV+7lCJvQhiiqzNyKaS5tqclmhifo/PB+QEAHm
t4AFgPr6+vmgWBzFlcFbFLw2GBkDym59leQz8aYzJ/m9V4kThftlE+NDPfh6qUjWIwf1CxOcNXCf
u1q3hR5T7yUEwPCfD9PG3gMGCR31ra13ss/pavjSDZAi7qZVHzIr/+uD+Bz04O33wn7YXBTRYtr2
yEm8tYEH5SAwW7EBk+Vx0OtaQuK4vgbv1d7QupM3kDzuz83G3h6u16uexAkWLxqULcbLwBvX49hx
d4C2l3/8+HC9zUUw1EQHDdcmKOiYb558q3nhUNBGUULSgd+2DdQIl2RWRRt2/pVXC9bmfGLBERLj
7PvHS7/3gLjEUNlCRgw9kJMHnFfbETLPqIfieC7jwW+uG0fPdZLeXQVNbUz30e0FjezkAcUAxBOD
3Hjij+M+6HQDDJl3rq/7dsujpkEghEgkWiAQBX29ik5oqzxXi5IOKxsOeuqsv19F37RH0/rOnQmJ
27b+a7iIx8ByIKRAQAtVFKrJ18uNlQqNWUNRstWEh6ox652KuCxFv/WqsmHMzmyTd44Aun6A4Gx9
c6THJ9+qdmFIxgSGA2mCbMM5DzOrhOj0iELF7aEpmF6PibXt7uMt8s5rRTwG6AarQlWZnnw8R7bk
y4yirHD57CMl1gvGB7R0NYr5c6T5d14qkn+o2m3hH1XVyUvNFF2SrDKitM5VGvQzpH4F0AdpXPA4
s/WxCTVv/zkso9EYo42FCw4yYelJbAmTabJ2gDK5wjC0QG+JPcSTC45roMefH7/Md04CBlc45mgU
Y5x7iqByQ4IpQD22JXD0STF6Y1TINfv1vyyCTjT6HKCCnZbD1Osq4PlcWwIAPe1qRWmppmw9c4O+
2Rdon+Aaw9wPPZsN6Pp6/88o3jBcFLoEt9zcSbTdS2r76VAvXvz14wd6EyCx32HzgtQD5ztEvfZ6
KUjK9xu42pRCR8EDAzKLXfB1Acm11KynWYmbe0rrIpw603wT05AFZ7YIRqhvPh3qJ0AlkSBvSBCQ
6V//CJRzDUifjdktEW3AAydrIH15O8rVQuU+bkPbrnnMW3iR5OBPWiFzmkKbvCk8jO6Y2WWceq33
ZW2Dpf7OG2AxwotJph15gio8OhRf2dIIJY4JGS35pVpBWFoQThmBK0Mzqkbs6FRRFhT1okZDSzdi
3CsOLhN98DDOXUZ0Edc1lF1zXq8meDFJ3br/PEe76evqr3HwqW+Tvv1lmtANhT8s3INtAbwRBPRw
nWgvh07wS5qIWGA4Jsblea6Vw4BcDVUvkr0fcjUUi9eMU5Zjwpb2N7DGgVqCCGqZPqG944dX0Ne3
9FdmwX16bFAQBiLXoEVBeRNvpk3KURIxKPx4PbPLrhetKzC5VdMXbyEx6JLaCcbKFkPyphCLy/rH
OQx68bnXEYFdR5YxNAjxLDp6gRj9EKxlYOBoEB2hIFutAdR7xUxcIamEyeWxry2ZDq4F1Cq3yPnh
QgRvnRRk2jYzUBldlo5RWBKwYLmHDLCnfslOxT4/OCgFfjUW5exYyl535BPwspp9cjxbAXYePAh3
19Fo8VNjIEuevaGiILUGq1Lrly7ugGnNKkhH7GZIorpiSCIp7qCz3uHwk4AM2deILYn91g29rIcC
TSY1fLFaoOmaj0rIvkYpyzLvWAe+m+9jPrsGVUS1DvC0kIISWMFIvx/Wr/GcyOqRR+loyB4KAtMo
L2DzMNR3ST104ybYiqztbpoSLafcyWqC28U2lUWOzRcI8X/tEzD2UXepLnNP6xJMbM75GK3kLrVB
JX+GuLH9qmgJSStbrlMv/BQTfxoNX3Rc0+i3v65h1aApbU1N4bMzQmK24OnYe7ZYBgMX0bLK9FRh
eRzk7EGwpQVmfejidD0sVaTUSxo1VDQwDanrBXeLHJLpG2Ll6NPcDWGz3pohBQzyQGy22CD3heqj
qmgqFwx9ztPVZ79tr6DsjrlnbEFbIMvi0ec0XFYLzno4r/1YVIKY5aWrs9W7nPwuXB9DuG9UX4KM
OfUAdussywiqslMBWsSa5Cl1TJWj5gu9gRwuA+Efzfj1SRKgRxy8MmIs3k8muV4WEYdPTqTDuk+Z
RgQqALuzNS1BJfIqcjSLxOQVQrThsrwo2CTU9b6lC2Qa8qShKyAiShDV06ug99suK7YReEbL2pHa
wkOrTtEGzFe/wSzgaiBgcmaFN7bD+iuqCaZYJastUEC5pxeqwz0gQioFY86D3Y+XC7qq6QUIS2g+
52CVM3Xt+xUBShU6P4Al54tOq+Z7ZPq5gxx9RVd6H9cdxBPA2llYJvLVASIz5Aiw0fCzFYuo65z4
VdYPxYaHsPYy8aQJ3adGw2Okv+idrLvh0M+gBttiRFGQxGUXxCy6VoGI2wHaRbxW9YVDtBbASHuZ
g8w2NGz+aFmTrin4MKWdf7EGLcLXI5PRMgz3ChYSTbaz0A+evMeeadQ+yO7SKBDbTJIkN7Nb5/kq
BWjI+jvoYYdTPmXL4O0szF9SWmZkEv0tjIEWczTQ8+ACiEKnGwHTGH/KfqWtj5nH3okl/s91fEqu
PNpY+i3hvtUPbQJGPlB/ACsBeAgiqf7lB4jJuT8iW4DnBB/HKxrDxPRhQYE8PFGne3mQsor9K5tC
j6pA+KI/EtdC4IgPS3fRs1UepojBuMhMpvLyuJqqm5j59ecMzIO9L7PmM+ZqHeY9bZLZ6CHlUdvs
0G7qZz/H0FvXn+NunEDe7QITkmc/QO/7J56JB88uFhZtgYGQ7ICfhZGDVzfDUgCHIIMD4NZUXtlF
saiMJ6TpRSMy3zwHgw/fqhx2D6a7JlGTyXu/4dJce7iB2a0J+bxcI951z2voLfVTpTLDfiYrT9s7
0ZA0uXOGrtkzsEBG760mPClrrxuXA3LVxeXjrAAa3cE2iP3WmfX6W8BWebufKwhe/8CW1dhzzAPc
5a6PfaV+ZSwUMYiFPd7DTq9jH/zm4YjuNOx1eh+7GnuEzndR0GI8RdTi4i9qgYj1ZU1ECGp/ODPZ
PLEKPkfqGE42tsmeRn01e8cZhQKDQc+Uiv6/MV0m+hvK00ZNee28cCCFdST0f/j9PA/QjVZqjqGN
vVIYdRRQQqoq6FBnNYdHyKTrDZXa14GZbREvyqjfydDCPi7XqbFgy9aV77LvJhS0e0o4pMaRMWhs
9DoHMmyN/aLRSwB3jcEbWqcQSNO5P6TpKMFBx9zD3HASTUEOoAwkg1I9I54DemCHlxa40D4Hh4oP
CI0elLAb4ECAsfQ0wSBp1lC+zmnDw/RprjA4fWITaX9VqhMpupVybNAN7rwnj6BjVgTYi0GRmKpv
f9phTe8B8MKNnbW0nu9iNc3HCueLXTd1UKsC0cc8px4Gv7hgx+bFAtRzLxctfsU8cu2x03Nw101T
fAfiaeX+XAsvVer1M3iONr5Uk6mHL8gUUrSk6yhrD2aFuMUBgibM7WjCwrkINExHjquF+nsOuG/7
pL0EH2tZyUXfL9Qr0RutaV53UDyA71oIOYLISCn2Io7YNaqbpc27Vq7fOcH9fdE534S7rrYTINjO
tXC38pp9nC5euA+pqg4oPqAaAsX0jgLUxkxddq3StBgBGocxF/KVw4Tr7SUAFlMWhuGOKaJmxEeB
XQuUgUagWl2x9NPQXFg+woctHFNgx6AWl1VQEJqnseQLsfNlBdmLJRdCJcem7WFaBTZM6pWU4BrK
vW2pYtB+A8yHN7Cw6D0dkzKY/dkDyK6q7xHu/K820GrM/SWzj6FIqseomtl/NSY7d14P+RO8EULo
vuYacySa9PCdATc8g3tNapGsQjimi6871s7Nndarsgc/tKK72ExVvP0QOH9+bMA0N2VoEsJzEdkJ
YyCNrRnbrA13bIHlWCHw33zevgM64UujxwIOVr5fIEfRSRmuyEWAS1xaXCIiaWGgpQb/ezZF7VUV
6HUugWzmeAY6u+DAyWrAKl+5+KbxaWDEM0myD8D8jvBrFSBFUdQpwP7axi9Q7LR7EUr8FW1Y5OBV
kyrY2gmveuobIdgxrNgEHxpkKoBgwA1AF5knu8+NjNN6n/iwJdicsmK3D7SlGOlna5PlerV6KWDD
EDU5ibw6xNFvabRbh7a7nxLbRl/aphKQnI+JcHk7J52FMYGZ55sogdR62VVBVhWqmhKv1Pie3Sez
Uh9+S6KNLnQgZ/jnzSREdpnAtQSOVRm+oUscgpldeSj3qh3JZx/QKv3D082SkxQxMzfxPFRlXRn8
bwP4OzS7MRuR8cUJjyogxVVylUmRhAfkuCkZcpmp5jdcb+DGEEN45bmVHe4TUXMelMpmWb93a0Xx
LJ5VBbIlKMqrCXCPSzb30ZMfLTa9VAw8gKIOxup+TSq4kHVA3l/NI0NyOU4Tkrxx7TK/jHUIl4DN
KR6yi/XMbxfj+99smNXXXOoW/oLwoXEIhpnghWIjAuMEC4XH3qfLN6IbluVkDLl37w8OkgURIA7t
c9Mb+HiVjXWwScOxhK8S8PC4+WA4SMltjbz2YR0IpF2o9vmV9qIhKzSUv5HwN7qpyqqq0+CITxWN
+3WoJ4utqrL7EXQTsWMzdyyvMKOuj3wiJt43gOo0+QgaU7JnjqEdvBIGu6Faz95zOJENEAU2p9ij
CWl3WTACDcrmGvYg/kihQxRVVXuA+1rdfa1FABfKNIHtoa0GxC5MNpKmzSdQJNtjD77rLXpvviwx
Pxq9C5M4DwwxgpoF5yvmZDyEEYXrhwrTvrtCroKqrcFnEZD3y/D/oWKI7GbKBjo8CCz1V4z1298+
PHB+1Z2efkH+pf4+VY28VhGwefsAVfrtKobmQcE5YS4pNtTzEChqD7QJ1EPfEIqY2cJ9ap/MsURS
QFkG4w8kFMEh9mavuQhkax8wZ4+qtUC9j+ptdSq478Gxgx2ZqbqyZiLGXUBwaxWA8UIfi8kw5UgG
FQrUUQbxLabyEKdYQWbK9sDo035Pkj6ZH4XK0ubChQ3SYTfSZLfKEfdQbrkKYL0JvTq4ShFSv4gK
zPkcoDXaPohhmWw5toYFB4RifQMQBQPFN1hj0G6GLM7DVUArAECK7D/a+/N/1JHsPxtGqGxHwcxS
DHSIMLRMLe4zAOzgXRV6rb9jEcpz4F42wcjZa833aZrAdKnqoG1ym63BTwxLUAO5zINdnSP9Y8oS
/aNVCwkuA7DTDx6NU16gnd3DYy5FF3gP5krTFSJiwJ7UtfGeRs1GHBe9Vt9i1U2f4jVk3zO3kLsh
8Ie7jGRTc+iQ8QA+6SKwipMWQ6cdF8Lsp7C1fJd5c8rgGsmXm8nIme5lOM0/EkiSNnlEFvcTrlS6
hdKLCmIYFPrJQdJ+pGjcVOt3S8MRVPkuVfNxbGzwY5rCIQGnZ9HfOwSPdQd7KnHjC5/+5w/t9Gkk
6IPvA2Pj72MlxQOcNMC1H+DfdjnEFVKkCMOUMV+A8RmPEiBcOEBNvP1vNpT8UHYWPuLbsnzh2kGW
xepV1p8FNyHGpu2ofnvS9jClWrKm2S0klBLITTlckXbuehQIi/mvikP2bQm66m7AFX4Lqzz3Urso
hUcd3trPxLj+am6Nh1xf4Zvn0GCZvUI2BHmglDCBLYbQArZAw0XCi6Cuh09ZjzI8F3PjUFUt8AUs
wVvht57fzmrfUR6hI+9B0WgP061xyIXhUXLA5NJ7iV0TxdAnseRz2Ec47j5olwkaVajhyxm09j4P
kzlBVQokQYppE1my3QRHrAQnedaXK2a+4X7yUdjvfOMw9nShc4dE4F3nmWtdXOjBH6p8sAk2GSz1
ws/MpPUTkBfyYfIH9IFQ+A0WXp+ZgTEqFBhgRhan830jq+j3qDN5M1luq8u5hk/mLkuRxOz7uU1d
0QzbRIUyr7rwTCLdfp6z7AF3uublGHF1JcDwdhe9lvE3PQbkZhZwx9x7MGn9WiFhHS6Tqs/u64wt
M7iPDTgG6LFEDEZnxuxSb06ao/FCBV+/sAt/pSaYAQJSTF6Fa78+hdPQuaKPbAxXFn8h8BPFlzm0
GEVO+3Gs12dWzct8jWgBD+TMb3x4raXw2zOATCCdhZ3ohHSQbm9nyZZnFN3BQ9QE1ZemB9E3585E
fl4R5ACl3yz0P8lFewW63xbC0b2K9/3Iu6QAi8bdJg4usjk+oYcXsE5xsYKW9Rm6bsFc1N0aq3xM
SWx2FdL2qCAypBfROOExs1Wn0IJspyTJcZ7Dn5jwsUfahfZrCDj9N4wJlqtKDgKOsLXMvqbTqH+h
Eyhv+6Frf4hoDS7gnTT3BabkKH9nTImglgHMP3BwU8YuAmVlinWHBTuKMDftGA1GP/dCZvBmETPQ
B/Ejey8h7oFi3wcqAtEzMbcjqtQph5Cv8K5gwxp9Gxcb3SSx6L9L3oRfgwQjtNyG0v1oLJSn8lmi
/1nYVsctwp6Qft4PNv2OCTOS5KHOqus1MnOfL3iJNzDzoBzUKvgFdkOFJIV6g1cuLJEatC5DYjj2
av5CAM16SXkc4nf7HSghAG7oQ9jBuBCuRP2MEgi0UhT/K9fmwFoy3bB0MwaJMYp18Pvxk6qwtU6H
HbKmRRWhXcUzYPrs1h/iCWZaqI/Woq22rM2Eoz6qGJqE+djFiS6qAIT9y7Rf+u/+uIQP8ZqFiN1k
VXcw70u/RlXgLRcZnC8fOif0TweI9Q3kI/Sy5zHP5lxDBeOZzmik5j5uYJD/ufHu5ahwBbAa0pkI
sXFyNyuafB2CDqUcUMThUz2OuDomvYD1E/fNLC8dFcGVtCiSkfsGeigD5ZFnDu8wSMThbaAgTUOI
OVlkLdftqpzNu1CaMccRj38QMslqV5sJ4kcCFXEhq6b5rALUE+gDYaZ8kIaJ636FUMKBkcy7SG2T
/K5aGHgCv44sRo5IMTyYEj+gs5yYEjBkNhUzDHPrMo06AOglGmKQywRv/oZj2PRzki6L985pfx/F
IzJ65cTKC7/v7Qs1U3YbA9wHrL2CJEneRK3siwz6j1cYZcLcE4M3/qVqG9cVnVO+hCjriNwrhXAU
jKqDqv0yZLBfK+A/HqyFC735OkyrJcNV6Ph9CiXeBD5pjif7IB28Pb5xtyJzA9W59S15AbgIdHeQ
3n1bRjKy1xLsuOnYYEr0kJCpry+hHInLsUZaXeeIReSY1XQeD7TqkqTsoxQs9ahCkAnRLLuECfH6
GU7gJtutc91cLWrpIxRg0RLkGVnsZz7FuNVUUmGMKWGPduQJBkW7FcjD54h163cDWy5T4hs218Ps
fK/MJovNLRvWfnWk6X5krQyrIkaGAlsrb7kRCdyOS9TM6pObFyJvKaQYXHUP71THYWkZODjzsIH3
L16wtEg74N86fAqZX8VlqlKz/GhWQi2cox1OAUkdvgJFqo7K0AZNcNgAAKA4w0zrZxxxeDib3q7T
y8QG70uKweFxGWmNg7OOwzMMprOfsJaU9T71lHqCeHr4ddBEwMo0IO0L5bh1c4qK+3ElIoPwUpzp
vdfH2KVZPExyR+yQpbt5YB0/9uh129xXobdeVzJDzgLT8e5LHFq0F73ZhzJAgAa2LHnXpHMOuVI9
79JU6AZtjqD90vwfZ2fSHCfSreFflBEkJNMWqkrzaFm2vCEkD8yQzAm//j7Vd9MuK6zoLzqiN902
BSSZ57zTMQQnEJ++NSIyfWZeRsWc1J3ty8bf1xU/ZscEaC5tgs4fdta2mhuK545edq3WLq5B9PI9
7nzGlXZwQq9MCPeC9Hu1HSGF1eq6h6AQQbC3ieuh2Fi6dYm33G1ApvyJcXRiNVvLoaKZktnCaf+y
V98i+pf3kNvnbrjob10ykXSa+FPnxGDMtDWr7zB8vRVeqy8HZYuKmE7HAR0iXA+UuNdZHTfb5t5P
xVJez5ZYmp0ZF1qhdEO2F2emJ0g+60e9HGybGgMFTIoMuNY105ALzH2PRT/ZFv/73N5Kp6BuW4vN
qg8bqK+KvSb3HuoK1UBk1kmDuJW1f0ssneNHzP+dfmCIN1MEGGLpncdr1oz/FhmAlQ7T+3klGCcC
KCmtsxnV7rJzDQmd4NBh0LN0bHVTJcnwCKlS09uvbcNMurmvXnOjJrZpMtz44znVdCQYZ/tkbyq8
07UZzRly/eJ+aFJp71wyIh7GkABHMr1HUt8bb7Ghq2Q2UQlYgy3FYQqBjJ7rrEjReBTpLOO2ZaDt
TalKWjWXY7COgnFyzV5vgvBOUW1LdZX3gTzvtWZAnYb/f8pYVSPKmirIwCpUy/By5sphvEArk0YG
uReNqOemZ1PqMIqbcGINlZkUYxoFBI8nsTcl5lU11WidZXSpF2Cqzl3rLwzgYyzpxL6Vjms8sID8
yK2qzWK2bFpuuz6x56fFFbWIpMzXgWwMVfmQMLlfx7rWCL5XsrFMgOjC2RZgXvSw5e1Chpobw9Mu
HdX+EtxAEvWfEyRyFoQ/UAh5tgsTsgM5QgTkS7eJeE0G9KMy52yqmET4JjIGFMerCsunBIZe72tf
hGss6A/uQ2bqLjHuoj6LLGvYwJnXqrxIHBtf72igZSKXZAZGyVG59vEEx8fgumRraQCMcnvGNGv1
KewlfbXEdPkI5SOBMDo5UQhNE8MFywBOavVHfT/llLw7MrnLi7rMqDHmVDCyfV6y+c1OVouh7/ai
r4uyruSFPSbiqd+U84D2d6sjd0xCEFYmiff7GrbvZmtdALAsdcfP/5AMUTiH+qc99eZONMn4LJK2
q/Zh3xU/XafkONWz2d6WVfR3ztpkP7uWCA+aAye502vjsQUlrf08V4rM3hn06dy3W/t7MrHlcaus
MXjRbdpNpum/+Y0AmN+2mcStiWHHWJKJciGvrXD3nHPqDgZteKRV3XTspO76FZG0+NbATHCQhZkZ
omqSorghsRQ+KR27+ZNmIPqK3n9j9IG2/f5nb5HZQrXu/RQEOVoxzWhwa9tLAdLbm+GzMDWVdTZO
1k1VHHcak2XJQ8PxySz2Uc5XkCO4bxEy+yJK8kF6N8bdlAc1U1cPRq7Uu1yyubON8Ig2nDnvAn9m
s2IuofXYBU3RXQ2JbxsIpnp2d6lfAVMSox3Y51OniMpySVhxd6Ns1l88oeNmRalZxho49VkuGWBp
OdFtRa4C9kiJJnHPOQQluHadQITbW90+lMekgUPY2Os1257T0H5Q3kdeINpfiaiVihuTdbTCs9M+
FiYclhi+PB8OoWoIfbFNLh96ShAr9lD53A+U/wzu5qVAPmEfmXDGG6unyE4NCfBJreeoZK/DnjTn
/nqhcAT+DNyiUFEtJ1XHLJL16zwV4imVRZ9DBff9a1MmoLUzw+TKaDKzvveIJ/3ec/LcgTTLezJ7
W/u+QwufANnVJeM3jgyxKRrZf0lA/qyzgmmx97Ulh/oq8cbtOAbcpN4BMyL8XyGOocfHvOF9PQzU
8k7AqHnUPIPIYyS22VtTgs1iouxpaEVfltBEuszubdyw074fmQWfJgMUv0HKx/NdbYqKvrK8h1KW
ZcejTqkVWtSgb1YJMb1vBrbieC0MKzZoLf/X6Fjro1qnebjSgceRs+K5Yf707JpXcHBfxQMi5DOP
6NvsIlfI44/HHJmYWrcO5V+bgtsRQ2MnMbDu9rUws3xZyyqQ0WyX4grTe/vT8xeAZ4KeCVwtoIC/
TJU/+1Fl1XD4TGrvLupB8DfX/dxR0iq/cuOuDNxf8B4ubAcqgiNZXOO5atRAm0VwvPUd7ARYvGFT
m+MS+tC+Xvva+lwJ1dl7wczCPF7yKjjiyAlkvJ+B/+7Ikmsfy8VZ3wxKrhduiCktNBtVs/dxh3ix
YqjueLaQn34J4GMtUcsS+kS11FS71EmEFTNsUzhnqxydF8tt8mdUqtm3CWz2hThPmZ3BU9fPzPB1
f/ZbmzE0tQotMH+4uTfddurGhEG39Ht3DuV3hON6i+ykIASAaRSqZCp8tXxpGN/lXtpZk/S7ETUI
Cxlj5y++R9OBHnbwxPlcrZR4KG86hvyKTO+HPldXA2kT0E0MGf6ZODVIgGyDZJf1i7cc/HxDTZhP
riXoGFoxpDepW9TcM8yAiA3rdT200+RUcc27u2xka8ElY8j8WeplfNDNRlErkiFx4xW42tm7jWuY
G2tVjnW1JVWfRAQTuS/CNjBCTRrY46GggX1kvrnUcegKsV7kfWY/IYclGcCSGbWB35Lh0o4SdCY9
1gFRmiT6rmocXbG5L80nJqbmilOaiR/RxrDjB2vw5vSwiLH+5muqozhvAKujSqQu55ld6aexM+4P
PBfgM005tX7Ujw3mi6+KJEN546yrvV2XvcpFxAho0KY5df07tLq63AWcwxtUe9CxKQl3wl43kw5x
SBngUp0lVecXVzbbB8hz1o1yz6zK/Kko0xW4x11Evm/RJSngPBtYWY/eFtvrhHpYllv5jK/Lq6Oa
PIuUP95vO6+xtzHiiITjmDhpfg6E6KodjI+89JY6KcmwDL1LrwyEAdBfzKeMR/nMeGJMxqYI8zYW
JXtfPGd2RuRw03b6ACSU3g/MnK5xeHjyWVjZ9AW/B59fMyUIUNZam2GXqWBQcSoYQxypJLAvhoLv
7xWdABuk8huILtthsy0ps/g4G7vXkcyBGAg3QRxJbuJAE5t73chsoFo6Z9VI7hungZ/slaGJiFS5
hodmHkVx7a5L4kWBsUwepTPJRHHVAKieB6vn/tRul31p2FIyHoI/XbSSkmgXoIFSj1tZTderstr8
murMu1605Tdn7tzMOTNua0Q1VA6gNVLOst/Vsy0AYLaUxZO5bvsyrxM30jl5+lDTdH0x9ARYfERL
wMEW6ORzGaR6xU25+X4M8A8NANXbX2lNmXKowdTLuGJG/IR91ulv5bS030Ul3PzK2J57jvt6+u7N
lbu37GzqboHu4bxGTJErm1Ln/QrnOv+xwq3+rEBfn5X2kE4kmkSf2ClTqrexozTf5bNWdyNyDxRi
cLDkKM2rgXKYVRmvNjHkhG4u/atftGyCUwZazkky+n1clPnAq1h8lv4Y6EZFTTao5xDp0WtWSfNs
dX4wRbXdmNeGkGi5K7JZPFBPbChUOn68H9SflZr659K0VhixV8sCDxS6E5RjqqdoWVOdE3nkNRu9
2zaMUU4ADFADCfLAXNrvg0hORr26clSfGbY+PShBgxox73j4bltpQz1CE6R3CbTmRc0NUtIlk3OV
U5J6cZXPQ4tmhdxqwj4dgmlnjciCT7/WZ5yF2ZuvFnckXnrdHHKeutzbKeH6+S7hAcoYWa7Pt5qw
DuLcdnJky2SGwZ8z5dyOjnsyphVesIp6xkpdNwFwJ4xcqZ8JmKp+lGbuW1T4W3XXVFSe+3VONbQW
9G69C4tZmYMpoLU749VdvPql4s4SXKL7LeGAgRsPzDddWuUrDQE+7rwW25MtVwvXiuiWJ5WuxaO9
zhLQSC6wcBwfrY7Ra8BMV8HY3s1j0t3WynY+9w2d/gOwk6PiDuXVtxVn3UvarvWnwSspsVGAF2jC
8sR5zty1xYG/5s6tgObOztsm7V6Z731UINKDlNFCjNt4NllNKaJ5CjkvxDoV0EmQiU+eh6ilyIi5
ZGp0M/6cMVx882hBU+oNh+/ToUigmoDjCvett+Rj3A1b+lmOEjGRhtE5TtXIoCvcduE55zXx09E0
2fLBOIt5qBlOpoEuVfGKoo4mZB3nHwZlcR1lw3EVD4PK2/NNl83XFkKYBR1WJo8FwIAVwR1kYQTo
BBS1eWV2k4268eNe2T3n8MIfOnSZmrLjRHPA8coSa3Wu6gTh0JCa8SEdEiQWxVFoHym1ZCt6tEl8
pTev7hwXqJsnX4g73Y/pPXYawnMT2agLW45gwP1RosQH57oERJbtFOx8QLVnQEX9YqWL7e59qwKX
nftc3qKZbLwYXwnAFf2aBytdSH+N2WcRb1B6NQ+MoqfBE53DC89GqOQdnwAujxTF3leROdrsnGy1
zhcB/c4enprXQLvJk0sVw3PyxPQmnQ2WH0N8zpgZ6a406mLJnmWSu8klkazLXdORGHPgU2BjQ5rH
Wdm6zEKGgZ27lMrd6cGbau1xVKxtfy0Ue0vkj+lY7sZKdVskvDW5w28xP852ML7NalT9uSQz5Kqp
oOKp3NoEWlK5r+B4C9uf36fnrYPDHiw2b8+spUPZY5TQV9zqgLTBt7MsXrFc/cxZP1yBDPfDYNXe
L62yytuLfm5ej9sDXRqcB1neVBIXfmJqYg3hS1+6YJH4HTInbTihRAA8A0ZxW/WYC5DHeMnt5ldM
9NsA4tAiZFs778KkTTUlkcovN7cBwdYJOnUADNQfh06s5W0ZthyedVcvNsundy5LF86JzBurreih
vPLRGk3xfWk3/1uGHhxBZuZYX4atoylyK1J3lMlQ26S2hccwnayEstybnS+swuIaKf53kwxVFzuN
ptrzc+pzfwtsEiGbyjovbI2eyWyQnGzYRZfti4CSPZoFnWhUQNchNgoX+wJRThbsSbpjNpPXCOe1
sZVgt3I4hotmts6zoeOTAPgP7wdbO/caBLrZJYuzvHQ2pyaLTy1vdsO4oagoC+9qHtB+RU3Y5s/L
Cl0GJrW4N3iwF1Y44spsPyHs68mG0opu3i9hMbxeWpe8uB6tRmnEUxmaFCHbUYDYukwcOpu7OWfD
TZqXHhPp18UZ2tvGyo1zXlTaOjTCjOqMzbUrY39sx0yhmgASZBwQeEI1X5YN/Kc8Molo6oLIx1E6
n5vQreEb6twb2IFswF4GpWB0ICsfent2Sr4nXkLSo2MaXQ/iYw5uyiVnotngAI/fYCoDPWhM6fnM
lunR5wJLgFZwbmTjftZ+5RyYFASkXUxO/7Ut7OXn0nAGkcgF47wrxrX75IdSVNcIffOrgt2ijv3l
2FXBMfMjkMvkaeRTe30lh1Rc4VqExva3pXhVmVp+wvFx1b4cynAHblUFd72qAYSZcLjRD5B/C+va
BG7/BR+cdq8yt80/IzoYRwquWU9IZnKBZsRgZSnjXqPAOk+B1IZr7LTDzYzQfIoD4K7tnAmJOs/u
4FqN/YTCYnuj8JrRwxtfJcPzmJZYQfY9EVz+hYDKfyXle/lqUsdMZ3DyQbsL6YrRWEyCdEj6a8Dt
1N/ES0gkGrFdgRfeZlMZZqjBsoDium0/DdD4CKus3HoTyCOa3ZaXbrJHHBIijaI1rXdqQCME0338
ANS0ElZoN8HcxQFnikeF7aM0g+kLn8a2Cx62yVksyMqN28Sh3J2htF1utnnYgN82doYdxMj0mCKa
nuCHZNmBaQblc048grOb2rYn9QcVIEVmWa9gxYPLltPLkqY/QBgikYyN44guRWQlFINg2cDfEuNY
6s1Pzjuw5ZyQIgrcuLVsKEMouMY7EDumyWYiSi04gNyXnE2ODTWnkJGTGddvtMtNP9uQVo5IP1E8
LvM+I0H1kjAZCcJiNULQHA8s38VYpCp0Rb0mUbmyvcMjAvhckApOM43gxEfbtRXy1S3tEv9wQ4wm
aatzaXa1M6sf2dawB4qcaTSRcGow2rBAAxxNbNaPfdVVnxEmOnpPV2+e5zSrswtB4Q23kWvnwU9t
EraM1KzI0WtGCWso5c1CcfPaFXPwibjgEPER04qSfRVuWDo3xx5v+yC3v2Wt7bu7ojDWxeamrb7r
w7Z/WNbGtdBuBCjY22NpXydO2cfKmlCFUZELnNeNN3xpsoo+tyAWlE0eEWeyAxlXD2wHcEh4zJDk
Ok0lBOI3Md2zTW1z7BQlGkddkGi0dP+cA2oM56i12vGGrRGeGB1R8hUnRnW+kqxqdggeoAeR+XQv
K/64YdcheOsumZti/UpNEzhnlgDji4EJJEeJ5TFBks1FBHu5OLSfpJ+PP+rUHhYK6jJ9JmN3fliz
fuaE0V762o3r+iv1kdkdyj4s30IO6X7v8WHBRHRF0BFBU/joQldKzpgVD9mtMsF3g4uBwo/Wu/wO
Rt+8ttrPl0gSDf8MiwtGswzjetO2S/hK9gtqHhhjt4MF2Aoky44IflRFvb3l9FbclazQtE21P6u4
yAt3PNJ57hxbuV99y8l2ZXCP3LDbK5A6WM/86OkY5hCxaNNuNeITy+Llp9B2l8Oy2mNk+fbi8h0o
kaEyKtJ+H+gQ2TVnCyOVglRtaQwh290yecxad77lWddu2jBsIJdL1Z5RP5ZfupZdmSIO6dFka7Z+
BI/1d+SmxT2+1hGdYW7XYo8iPLkf2Z+ymDJf0qbl7fTJRiv+WcPdPLkePILidLyu28p5LCpHNQ9d
sUxE7YT5vJ7bwWw+DdkwEIO69Q4xQLoak7O1dYrHSTsDyNOyYlpZrQ20kdqF0NTNDspgT5ckvH2u
WtpFM3Rev7NHvpp9OuaG/TFc+uaiUcaesOMuKgjBVl32B9cZ+c8Zdp7vOt+0iMlaa0k0KORavAUt
wokzIjLm5Gamx0HQ5Sfzo0E391PRGvCq5THMpUnB2hOVISdbUcAgbxit6m3pTfKUUOn/IBTqCLOu
ZlFsBNSAe6w4zgt+EJQeNfagly43HOT9KMOzrlpKWFYcQvW5Qd/5SK+iGWxc2APyeRdz0CK3TsZD
hRMxKm27qlCYAJLskgSbDHWk79+DTVNturgCrooe+d0uZ8RkAHkwcTwhrnGe7bXL30yAsjeuKp8q
F/df38WdFST3TaHQGVH5U+RCu2bloXVq75OobYQ8E6Eh94OQ4xZ3QTItEfY31Ezat9qn0s/Xb8Hk
yU8ehJa1l8lmiV0WhpATzIZK87jsa0rTSjjNgwzG4JHpje2LJQYXwVLbpnbMfgh8yHS45hpLmmjw
NffOK3nyCD6R49YXPcareS/JfR9jfo/1lOB5vty2pUUjAoD6Yyjz9MUGTUNR25k6h4lliUW2U4sV
peB81F0icEMcgAT+S9KsmdqhSNqg4f1An6Gw5086aOtazj3YN4pjJPnR5JCTtk/70b8dC1cYtupK
umB/RfG112X+FCZleA9tCOKyJMkmjgCXaaPAE1hbTK4o91d2tleKBloNG5VlNLaYHSKMVcmblwFV
HIawK9RuRQsRovMa10u1eTVZF9bxhCmsrsr3as6AZSsUHc5e1oF/d+w7XTaVabsY2iHt42SawfbI
b7Kvh3lTn9OSXSwi4DJnAhFtySHoNeUM4c39rwXD33Xe1aO9m3sLvjwPcBXwpFmQsTt2aRXN2yq+
YkDkHZuVSPQg3+STY3yiWjp0lzbQGCVatJStjfGmbMKHsUw2N6JZzygaEin5ICxbfF5yZ/uc5PMk
EYQfcWbC4KZXVQxOF28LOEy8MYEiOeYKrhBuYEb39apTgXyWtjpaHV/eYBfrb4MwRXDsy5rKPlX+
yLCoUC+GnR563h5WqN7NlEtyQCiq0vNKDuGDaDJSNMIQxv7KmRfYDOjwYZew7Q9YLDjrL+xChSIa
RmYpj00v6EVHaPc9zWpTYEMs2vbBXiWyADRjAyaaxILvwiM37TuTrXrXW0aqONiwQMfGmqbX2VnE
sl+mXhaHMAtLvqks9Ki0EKBuyOfStNhJIMH8h0kBZvbTJuQc1y0GeAqztURyEXZ2fkn+WFjfLHMe
3Lt5WXU7Z94qbFotGrs7LD+Q2hM+BR5G59Q/ZNnI4bBmW2J2qwGyOqQZhfFO8hT73cYmTm1RwFLx
YCstJKiQnTzmnU8t0TH6QiD0nClCVr7Vn1VjGKie4/t4bMeVhJfjGIAbBiKMX9HMKkjIdvBuOhfe
OXa2VSMtDnRBFqNKJMpbdq5IQKTcykQieTEgqSjxFmTZuwr/0I820evntpLFnUKVbh0Fg2DHoLE+
jWirfwXJTPMHrgtWCHpIxVW4EDajX1nfqPiWMaZFaShB5z64k9rp5Fmigu1bKhbrBovpbF1hJnN+
LK50juBMhTyTWULpBcBwtsGPWs0d5gJHouF3pgyanQEHMSIgvijfFNZDxtCDMm6VxQubLct9moYe
WrmbPOjd0hrCi1Wk43K28L4/bZzg5lyBZlwUoCcPozODIZFxNl0jiOCUbFGf3FIdcFxU1tDO0TYA
YpwFedcDYNm4CT6BSVaUIO1so5dqyuDBq1vEsBw36V1XoSSOZp7yFxTq892x0UOKY1X4wYRoh3t8
ksn3UoMgx7Nj6DCUCSpkIoxUeQmzlY851dnqo8+qgCvqgmDdPWl46nsF2EYyrK2zp0w1I52vFXYv
5Ax5FSBbU31PZdejgkhKICXc3JVGk97oJ9miAGCTRX+hXDKPo3xgKPmOr3j9Fq7eNlPHO2hBFqBa
FxUOZSM6aVU9qhwvQwwL5b25Qe8/cAYNzqFNUnhulm6/t8a0p8TvtaPj4+68HuwCcGdfmBEY2w02
hJFZUN8dNajrLjOduaFyaQbvPIXRXveZkkFHtFwnboaZU/O8bFvnIgATsaOAgHla+NZoeTdgBvzR
J9Z25+EWHaMFYcV0Pm7gb/d4zxKyTYXf8mwy5bZ7pniN/vU2epV+pi8QzyIEGIUG0hb6fK+gyh0X
LV+qZlMWNSDt0fcwLWYR0X6hUUwkpqkz3aEa/+IzNTSEcgkbl03CARpDZ5sCwiMAytfPqEtn5m2E
WJcOjsbLE7XTyizavzuuj1kC/w43YHgA0Z/ENViEnIFCnpi7K7m6YYfwB0JY2d/E1CbRVHbTmV8u
5l6IirBXkaS8unHaVeUkz/5++VPD9/HyzGrFjh8QYwsL9rvXGg9rPyJbqSOsV7RDFVLm6dxCJejg
7tR3cBRhtLkqvepNhSz47xc/nSrGgDmublsWrKPjHfNTfr86c8I8F+quicqEI3ffy4QPqWYs4L6k
q8iRNYGipTiz4c9zOio8ovuyQW1CEQPg3Xnj1w9+0an3/PQXnUSsIHhOur7mdaStYh+GwtwVaWjH
lErPHaUwGw9ceI8bbV+Ni0u+V7CeNQ0IgL2kSMNXIAf0JOEHT+o0AuCfn8UQw2PqrXT+SBbrDDv0
pGiJmzoFbsU7lyLsqEAjy6H12t3fn8JpNsTxaseED/+Yboom5iQmRS+qYcw7ShDkwMGbyn0HeRx2
KcpC45o3Bv3aH4TovLcMidyTnntcg9I9ib5AIDm05QAPjx3QvveQmVDmSrS4o2UuUM+FZ7rBu906
3n8b/3AcceihNPaOK5Dry5MVGLQ4ENG/QPcRhIflCvg3159rxVlwARIEtf33R/vnjf5+vZP1tXoC
Y4rWGA8ba6GjXdableteocdw0Ip3464Luu4xdKv08Pcr/7myuTLhMy6hxj7zqI6/7F+RT8PqtjJX
rGwmJFmXKdpWDl7d/sesln+eJ0MCWTY4MgBxfr8Kl86dsOOLdhY5XrpH6VtQy0tI+eWTj976g3Xz
53dB+jbbB+wxhCBv8/fLBSpMwlqwUvuR02wEGo5BHL9grpHnf398f34TipwNn2nk0D3k+x4f778e
H1auvjc5Z0PS2d0FFQxeLOzDeYzAE1dyD5z7wdj1d6/oEMSEAx5rwml6oaTD7uqJb15nYvmerABd
4VgckcQ+K+9Jaww+yBl5b4UwOiHACBEQ/3SaLr4wEULB3LIb9xP9SrjpQe+0P8zN/7AUGUFEJrxU
ird28ixzxORUFDzLrfM7tM5jiObIdB9c5b3nR1y5RDzFFBQ08b+/scVHp1tmXGVEIeBhLQy38yKz
+70BY4XBBwv7+xJ5bzGGVoh6gLKM3ezkC/Pa3k3X4LhE5Bw+LA3BILFJU1/sp4qi5oOd5DSk6Pil
hY5v8RQVqRGnY0racKqogXEe9zKtX3MIPfShJdKVTV8HQ3McSSzG+fnvt/jO9sXBQAiZZK9k8Jv9
+zPdkmBzXESiEZkCODqln5wNK3irUxeHrkoCUAhHnSkHweMHt/vO2yQEFraZTCY2F3VSqMx23mZB
x5c+JFPwYmO8LjiL5XzOsLLpkOKP3v/9Vt/5Go4FGaNZHMmRdLq1DEs4orGr4LKQh+5cki0Pk3A+
mkr+zlv0bRLdPElKEdHPJ7dFXE1aNMdvLrFLaVC9l0Nx5gyDtA6ysVAj54W13kn0v9kHG9q7V+Yg
wMLGsEDy0n9/lQm6fzMyDSwqgok+GjNMsksGvg1AkkG+sbcjdl2wciYfXPidz4TrWVQXhF2jbzv+
sH/tpD2Wdx+HKQ+21OZyaKx5TxKseAhBUD7Y0d65R+L/HAaY8Kkcx4X/fqmusuxtcWvc+Xj/dqJH
WmbcHuNtDoH0oJEpfy1l+FFe8Ts3GB6z4Zkf5IKgWCfvFMM0GcwzH0kuCdCxeuRIWFuSs9TCpfCf
F2mI5iNkygZjbwjB/P0GC0zn4EncYEIg0C4c0TEtnftR3tufn8Jx4oLFkFWXxDfvNBLQmgOmeHTM
gREECNyVS4meLyvmD0qxd65yzMbjH3ZPIvRPts8Jv0rduCFktI9GVMvGRa2Tef/5s6aK5pOzyVC0
LdLPfn9ixspmQ/mOyALRSH3XE67T7tpejB99X+/cDhuzJM3e4pBjJfx+IRgllTbgp9G2kEya13Yf
I1j8IHH4z13xn5Gi5GUxIp7y5+RubAqWxTSAnNxuecnmma/7fED/oQ2u/z0Oa72+/NclRxgvwxqR
qLvH0Son+0aOrBv8gIrZcTQtWxbog16N2f39Ku/cmB+wLyqLw82jz/v96S3kt6Z92dGKhx2UYZX5
1wyTGQ6BP2WxNulHw3nevx4tAINMqe9OU/Fn25p8H1wHCYIY4P8YJwq7mqQ4bQqraB8m0zvf/36L
7ywQbpExZpwyZP7/0XqTj49rhQe5Zk2Oc7eFXWjH7b+vdzJ5AMZc57jrhidBw+Hg4XHHdBBNlZXc
BwbD01CU6wfTK/+sC4CiXI4Sn7MSS/zJt5t4GXFTx/hMh9F2KLVJZcE1s3xCsh+ehUuAB7dMDRTe
MNZnf3+M77w5yi3yAl1mFUqwlN9XypxbedcxsCRqPZV+xQLkfsWap4ZD1RLbEXklkqLD3y/557HC
YAoe5ZHJ4fQ8PbSzxW7ChSnaUeI025mLKutbJWAkr4VNe36f4OCVUdtl4Ll/v/A7SyYg1jPgAwz4
/k6zZpl7SQFL3mA0k1Z1W7iqjgatl/9cx3J7IbmXNoYrIr9Pzq9WG7z8AcKvsAqaM3yNCSFvovH5
FKqqdj9YoO8tHY5m0MDjE0U09/v7mxxGYqFTpS8NTH5GthfauioXpNInfnFDHuF64wLanTkU10//
/XH6PEamjQQsH/e4tP5Vifg52HXquaj/ETPdSzKf9i2Zih/0qO8tUN+mJ6aGdGlVT2pmMp+0Q+I8
ymSv9KMBwcI3x5Dqif62O8cnMpz/D3dFK03QLW0PW/Xvd7URp9JiEWR1qlbnO1zu2kPmRUjWB6vx
3Rujyz8WH/w7OOn1SaZCFkpCAwkuCR4CJgNDmAxtaKrzsnat4XHD+fMREvbORY9DUuh7eJgc4ScH
w2YjU9YbPpuViW1wVFi4VnTwLbk2aV3v/v4o/6zkWBx0qC59KqeCc7K31EuJy5ZYHSxRI+aiON9M
V33F++V3Bof4utgfdXX/zEX5HQ8+jkyhswp4rlQPJ2/P1GGWelATUchnV+/zebRuFkOCWJiPzXkS
QB3JvBvOMpSRzAAU0FNRuvoQgjUZeR8s3Xf2m5DgE7Z0x2NvPy0vswVlJtOhWrQ1fbpnkC4SvpSk
+L8/5ffv+V+XOb6Gf32HhTdWs5Uw/SbZNuNF/XQM12JUpHLj2gnHO7fOxIW1wK8FFYm1uoKKJrg8
YCpPYX0wp+q99cUb///BCuwMJ19rS5hc4ituOUU7HivUqj+dviuRhFnp5TzQo/395t97xIDfnCWc
nMehbr/fu/I2ZlMQyxj5rtORu4aDyF/r5YO7em8h+wwSl4TjO7zL413/6wmjDFaVmegTiNDrXpIi
hUfs7PSVwdsflQLv3hA91zGhHG2vdfIASUdGICApOHqGiO+SHkUgRE32QcHx7lUwlbDxgH2wf/9+
Q/iaEm0zNpUxwWkeHIgpUtOOTgsH9N/fz3tPjvE9HK0A74APJ2V8T3EfYGrlQmK0DgJl+s5vZ/9B
4xj+9L9ciuDn8FhYMwP893uqBzOMoeAlaTPquyAZMxjOABkvaqKl+Pw/XIxpV0BwlNjytAsnziYj
HZqCd4aAOUzTyOBLFOK7eazqw98v9d67okTjACSOmRP+5L7QMClvqIFuHMetH4iyCG69YA4+2KuO
f8vpxklIsn+EhzghTrOYm2r21nxj3TUDusloQit6wea4PGcgVAc94fb5+229tzIA+5AoolaCwzo5
/pwR03jtQZ2Rp9XExYY9ri8YEkZdn33wsv68N9ASxaLg4APJOL23RcmwGtBUH93U/VmWdA9t0F8i
lfPOrT6fP7ix/2PvvJbzRtIE+yoVdY8aeLMx3REL8zt6L/IGQUkUvPd4nX2UebE5oKp7RVDLf7nX
G903KpkkgEQi8zPn/GY0E+4y+gScL0u52dt5OHSKgG2c9Lo2CPohyCzhFrUTrTtSN1+C6POP7Dff
zw8i6xLiHPYRMp2uq3c5EnUK9oWCpnZy7I+lNE/E3OTh+uPH9dtRsBzyGhPKIOf59qoEodfHGToT
FW0QWNU+qM8p4TzmVPrNvVv2QiRaOBwQdF5+/5eFlnA93VEmdfV5P/WXkuQvJRN0/R7UbNAf5MpP
f3z6spiCBJlkaPVkeFaXpehpHQUhRwIIY2zWM/l7lBufdFQTWOA8oLIssaDz8VhvKWUB2EQ+9xzv
CgWKbgM7huiymjuUYtCgJvLMjrzN758W67qGfpMzJVvMdUKw6ks6cHqLer606k6NOfbPxG5Qhk+v
7rRUiAbmcoPVXTZXq7uZUe9DAUgCGaMtvCzJXual1KzW42MarHcXpCsSJ3BD5IgsYy9fvVSQfmuh
E2lElKopeswKofSSNvx0fJ5ROJqynVhkCVzQ2+lHISjV3ga44Zo23MpOchMUzjANiXLWdyVle3Fj
UURHnzwvP6TL6mie7HfXuSwbnMhZQcg4vv0JUk46S8Mv1Ut1Sq1MVCvhqRpp2We//3xOFscWH2a+
zCyNb4cRwcN36hLGoy3MdC1leMkpMt59/G4te+03nxQinosuZMmFW8v/3w5SR3lTt43+1NEjXBbC
lR7tMtHYFJJsY7xhg0PTF76GI3PyXXRhGZVmI8K66gIMWj1Dagmh9Y7609gdrNA8zXpPLnwn1WN3
nr98fIHroYgdi2QfkOQQcaUDerV4RHAlZkpD6QrWx+Ac2onvdEPWnwjw1j1Rp0+NyF7ofTzoeoa8
DkqOn5ymzBZjHdqLoQ5pQzGGNvyO5Ir+gNSbzcl0Px5l/XX+OYrJnldRFrHe6n0jCR2AA+bSQtqc
BopKhCUUC0XJoa/8WMHEbwZbZCH0oZHxRpGxWvXrokBTpi3ViKHPWENpXvNB44s5tv4nJz7X9Wao
1cTXdN835oqh6E0caGLI/C1wlc9u2ZZRiPzgxiCuxkqyWhe7TgqpvIfOyCKjbQeyxiTbZmPz8TN6
PxPIztIFwTpFtIn4yNv3i46DOdZ0mhP9qCw5xTYhhMX0sysvmZ83o6zeYg4kMAFGDo8AQX0bbtaj
mEiPH1/J+wlAOAI0K3KOJdtkrJ7KmAqtHMyg1JAW6d+lEZ5DSoPuwpUwjqmSXqfur8sSGwwGI0RA
toT80tpQN8BIUKeeLBZZdCgy7BkFmrWN5rQWsuqc4tti0+pdtwP+KjtjFMt7KLnpkbXx3bPjjIzz
RKJ6y1x6OFdXnFUQ1rPQ+GJFdABUYBadUU+O7aZ+OwgVHtxTMja6uB4E7AsY4eAxmarM8pRK0Q45
rjpr+6mnt1TEqByESKEwEP6T1VrRpelohfo42MjwQiqXS/MObgotpGocHjnjra7o51DsclG1ksNG
Z/h2yiu+ESU5m1tbz2j+brhAt0sF6XOLxOsopH5eLwYF5roSYS4KMFJ5SKdNKENgoyP6VBHnYwm7
dfnez2HILizyPY6r2uq+wc3pyZ8JlNH3Wr2Lx2o6hSLXnWtdoG1DDsx0do0ajZj0bw0JEhUapbtg
r8FtcXikx1701Uv4+uPopAKWV5AN8bt4pJnLIPRARRTTmNqNmqQnIziDTURv2xEh92td2C/v4OtY
lMnJTByS9+yN3z5HVc1AP088xzCubzuae0BnKdvZT3Ygi3daUT910fDUSehzVP8m17ovIxnoiV1f
1SZ7uPTH4hTLWrn6gfiQm3zQrcWVu64WosWCrlwTRL4o1ZbyksF/TQ55Q5bzEnZmnmySaM7ka5hw
0bc5gkZ9pFrpNzd/0diKlCpRMAF87+0N8etZ7sB/9jalYTB89aJwqR8u3SqMU/fj1/U379CboZYf
5ZczViVNcjgt0y5sdWGfMCFO2Yx2n39TGcXiHaWSbfkWvh2lpq3Vz1PeoW4Owo1sjcKmlGFN/T9c
C8cqiRQgSQh9NY8sLAsp6DXmURHHT3RFN+dCL+jXH4/yu8lBqQevBPERcrerVYeCi6DsM7qqk0iK
tyhbQ4OOECnwAjVoT8USqoPcleVB6eP+7vND842iqoxaj/cvCq3VuTRktBYqBOfORkkbnvEiCHta
vbXLDKoc6DRdv2TtP1Yb+H6aUDjPeYtyJTbTLAlvH6AwkNoR6hh+h6lWZ3GSF7vQao5lW97fWpMM
II9ONEUOeOt4fShWvS6W2WTTlnct6tpzr5q3/qwfegguMFvbnaHWnytrYfEhIilDCyDMKlOiu/os
0n80cOzOJzpPgRV8sUrA4LtSUiLdATFbhjAbm4AkDIjO+P7jx7nMlLfLjCnx3aKegfQLJTWroSme
oZksYWhTpyBbGf3YK8qw8nAd0ezQ1sciD8u/9348lVQINckUr65m7iTNvhrI8HCaAdyBPGbxQxoE
/oY665jmRqPcwSI+5v97v5Yt6UBKlCgrZeaso+UhrkEao+ErAjQSnEQsBDdRG2tTwtc6spb9dijO
7DSBwjLki/12kgJqm/E1ApmBHDjIfEDERPR8K8qzjRTPkv65XRuWGZNvNQUVTNklV7/6YgsjvdOm
RgeGNsLuEGr4VmWCOO2Tk2SpVGcIVk+qFDlZvr0oy6fgbIZBBSgvMxtvGsI4d1M91L7TG2bCQivj
Y57hd/dxNeT6PqY0AJoYDRxaPUtXUpOX2JBaN6vS/sjFvVtWXsvwKXFgd0XeWl99F8J5CkWQSLBE
p6rbwyrJHHqD8iPz4v0oxDXIwpPo5JMKu/3tLYQq2sdGRZeylTSaV4X9DLFJn7cfP6j128XehbeK
94pZLpuQSN+OQmeWhPOJSpfO98Xr0eqRJgXdflKM3kZANF73xbH00LshuWMcXJay7aVqe33mSyVD
GZWGRoqoqSV3hF+uOVbRCpcSZKULy2wXXt3Ueh9f6PL4f11GCIrJbNOWskMGpdjy7YWm49D1YoII
qt1EducMXrFVzmT3WGhjnclk0Xg7zuqbw26x06uUcUr36T53cW/Y3w+Xzx9fzOt55KOrUd5ezag3
IZ1/jCJvKSiwcXl40jmYFxf/iaN5pN7sk9o+gM+3p4ePx14fPt9d4TJxf9l8cXxO1XpRagk71Rkc
iuDtb8aZcfjsd3V9J5cX/pdxxjSHB5Ezjnrlbyva6u8paD74R+bF+uu9HmX1eaEdP06F5WrmDW4Q
B3CgkzvlkXf53TlpPcryTvxyLUpUS2q8PK+zyvuaOLcv2vb5/uaYOfNV7vvRtFgtuxQyp5MUMUzl
UXbqwB+w74FtXsyOcQe/c39kJixz+aPhVkuuhbGS5YPhBucr0Ff7W24ffjg3RzYc0m8WjF9f3fXh
PGvyxgAFulwVBCyHYJGDM8gxXd193j427h2soGMP7MhysW6Aak2ltMJlzN7lYMcLFnkPs/3t7jy0
Lxv3mTOBDWzzyIfl2PNbF9crQDrkdHl+k/N13ohbjFheswnPo71vp9vOPvL8lm/9B89PXq0iiUoP
Je2Fy0WGTsb/VBvipwOc7cjtXH+bV9N/XbKjCqiIQjKX9lLRbvc+rRBF3R36xDh2TcfmymrRMI24
MfPlRTO1L52/i2AllzKyszwBRXIs4fwaZ/voBq4Wj9gUZA3g2M8bmF7gaXCNDQ445y5yI/cHTfcs
xKL949hVvu4/Pxp4tZ4MQYZLoGJg5UY+NPfFeXVQvvqXhBvBbpfP021+iC6US+32yIw5dntXC0zQ
jpFeLDNGYc5AXmB+9jt2eY5vG07p5V7gmo7pHCvZfhdsWU+g1UozyXmSNsuLQQJyE+0k9zZzZvvF
t0tub7GR7aPf8d8tACQEKeJfuuWo4367YjeJmeXiMmWREHsS74fiWuwcVMc6yRwUflfNJUTrbb1V
T639kbv8u3X117FXdxmezJSSIGGv4g6efp9uws2wmdxk0+zl3bGY2e8eKfkEkhYU1ZEUXx0IYkDV
8VSXjV1Dfxclum/BU6nTS5fXbjxffXxp64WAbT9xT4IdikKRP0ULb++q3kayH6bq7AhKq2zgI0FV
luoIx9o0H1lz1NXixlBUdpLopwfJNOBivR0qNWV9lHvMWT5d6ieFlefUAyvpkTV0ffeWUVQyWJwG
lm7ZdVxFxVKNDxLcUUtX7gXQSeNQ92njiJOcXcRllt3RyiRdfvouEsHhWMWmnSSovsyfX3YTBaCE
uilxNSKcLD24rKypaptdgatPj83FZQn7daXhAjnDEbihEF+j/Wr1HmDjqWfLECbHyPvccmBfNHfA
32Ao1VqhJLep1LcAXzOjHGwi241gw0bMLtN48u+1Nm8LAAJ93++rTJevqCapcAzVUWnapYg36eP7
8m7zTc6V3JguEWqiLozc1dsboyLRyFvDQGIp9T3OESENJlZDmLWhOzZ4XsFAa/0YbzCc9s81mcdv
QWMFpiuRHZw3canoxzrc1/vL5UdSmB+kt0C94jF6+yMJQJoiLPGjg2IhATSsyDYyiuyRwD8wgqHs
zcNUynx2o348srV9/7IpPDTK04gHE6FXVl8nSK7CMNEd4tSt+VRRvHHXAh+6gLh5rEr0NyMtnTQ6
aXiiCtTyvL3IoFmUd5Y8g9OLdUop6HVyiymGFkqe6uXjh/z+vSaEScwLbAC9GuI6JR8Y4pgVoKwc
AxSO19YjgqcqOJI+eXfI4bHRValQkkkCmU/AcsW/vGIByQklnrve8YXQt0eMonacBYrNhMoOUTcX
npH6qSeLsXpGNj990bJJOrKCvX/1+Bmou1m6lSgzW0faprkfgqLi7TJhOeteUPjCjZqI1ARaLSyc
PfhiUC6fvrvLOkaDD6U+EpH6t9edaWGmFKlPo31TQMCZ1GSTZYay+/woFDcvyQJqDuiUfTtKMPTk
pqa4B/OCzxMSEpRhZNqfvn+qqHAhEpE1cpWvz/iXZ5hMSmK0FIY40VDmZ6naSG4kQJ8ZoIe6WTf6
m89e1VKzQUUlGRBmjrqaM/IkNikuWvjwcxQc4kKY9z5OliOHhPcLiilr9GxyUaTc3hUd0vVLSm8y
Gwc/bO6KIvybFEj7TjQ1wTMzbYAMOzb93heav0uy/uPb+D+Cl+Ly57Lf/PM/+fW3AtjTUja2+uU/
z6JvNc/+R/ufy1/79x97+5f+edG/1G1Xv/xx9lw2f2y6/PtzGxX5+u+8+ScY6e+fxH1un9/8wsvb
qJ2uupd6un5purR9HY6fefmT/7e/+cfL679yO5Uv//jz+XvG3Ymato6+tX/+/Vv77//487W07T9+
/ff//s3z54y/9z+/1axXP/+lf//xl+em/cefgq7/pUsWMVwSHSp9hUswbXh5/S1D+YvUCxpGSiko
WKKS6M8/8qJuQ/6a8ReN1EsFDikmeqhYLf78g5fr9fck6S8KWgmjkmClb2nho/zrR3vzuP734/sj
77LLIkJZ9o8/f1Zt/PI1V6itZNKwq+UH5LOwLpoORurDrCHAYxgvLHpxggI11FWuvWHRJx1GmbJU
ka3GUXRmgZ87FL3VXiZWUn3xq8y4KGdkUiWN0TeqRZEINqshtUc4O5E7j10jOjP0mg2Y+IX8CYEq
V4T2SrNG3StR5qhbyehdOGT7JmzpfysEoXpgTS+/WAXSWzdV8LA5UpoBrE3V9PsrxX4M1fa8HYSg
phlBCg8GedQtAk//MjWmOXaGEgyWilQDXMKSSyq0mSS7zgqWDrPpsI2JPTntpm3ZwkIWaDg6FGrX
k/1KevkUI3t9NURT6ORpnBxA7es/flLwUY9ZF3GiJdsmlcBGyZWcnsb4MvepUJHLloY7mbQQcSol
8x/k0vRPa+ycByM2LCwN9W3UxpEHGwwSMtYtjODtTpjn6HKmfeZQArO8rpL0MgibxCvBSJ+XfSSf
qVDbH/xqznfYiwwQVwtRf8Tpe99oOYH1iay8a+itsG2hdt2WuDGBnlrmPSn50p3hUnmqWiQ74ISV
NxYC366mgyDLNi4wCf6Tr8q7IiCKB47NibpwOish0HuGWcRONfXzvssDy8vgNu2rULrup/RAj90D
/lXbVOJLesZpO4HO5MgJblcM4hKwnAVZOWmmw5Y53i6NFHDLUkrng7EcNzxK2Z5FJT0EbR6eUC69
wGqp4LfkqNrIKJtdNdEr2Ht6gwpv6bk3OSXQGs4WxijkfQg99iuo5w5XbaWJjhLGELqmEfSdOqLV
0Cu0Q1Chr6U8UmxTLewRf2QdoGGgJre6nmox2MyJOF4Ls2/sBgOpFFDG2En0NAYKZvYeuST9ihGK
a6GTR0zIUgD0O+y9rEUjHMOKQb/VFyg756G9ykZtMDe0gYPqjZpEh4gepr22AR5LgyXytzZ+yrTW
alQPd7MVaedBIxPEt4Ma88ouqwxK02GYWgli0qSij4GCDRlth+CqcxUW0lkpQYCCESznCgI4vNhp
MrTXE6DOOTrRIRIn0mWsR/l+0KvAVfAZumWNrK8k7f9iUurpqkGibrCdRSfBhA1TD+fqzs90jMTJ
NO1rsPVfshhRNg4i0brsNT9zmpqbFdIZh9ItDBuvM83iOsU5vvkpwukmX9lJSE9OKZxJYluRKuER
20OHexMXuz4qHABGOT0ns5Y8pr5hbeH7lF9zubS20N2MsxnWvehouK22IYzz63kMsC9qsCOpp6ya
4LZHt3uiz7Ulb/rQZJEalvotVGS6jIpLKTw0Afo5gonwhsh+tWv02uLyS1pPAwCJSJVywU1zM/fm
WNUOcT/pOxmh5+XgG/SrBdatgif4VA4JgFEjQ6GU7dcdvDUxTa6BQbR4B7CRj2Yrf0eFMN3/lO5g
f6lO2WpczbkSelnHC6Pjj72hqjC7NprZODU6sfAi6AKXotIpDwaSdw3SHCoeeka14SCB+obZpJQI
hXI6MH6EVAbc0ikTXAxyOmMEjfPoARpCg27b6kZbbSXjRlSj0EV1UbNwBaV2n4fFtqgryPZA4LOt
jHHIhapAu2mIMnALRROL7sxWDiYcxjBY6rEueKjRm3OA8iErZppcjS0nfRGJDtHUYALQC2CGpFau
hnTtwI+8qPpOLpBUgg6NZIoFbHDt0RP+mIrOg5w+raCI4KQH40wbXqrz67hVb2W/sZ4zzjP+hvN5
eyb6k3YDaoKwzSyKlxYc5Zs5xHoe9ZH6PNSWhMzA1M7GJpWRXkyQ/2mDUdzRyI0f4J1RmglADC/B
18meHkfJGf50bJ7E3qptNArGOWSOaaMqY79nLeKI33RTtzHoPEbIVVEPY47aScRc+VYApd2Ok4Vn
hx8V9Qwi5yyGpF0qexEouIuetbRJIPV2IxtfRb01t1SRYhYbo7Dlj/QRrjKQaC6WGJA1ehG6dK+X
u1jQBpfCv/abPnTBqcTX0h4rxTzPwalBIqZ74hxS6HxAZTJcYZIn/QWZmNguFjyn8OkWpg4ju0Ym
2nhjJAadXUdRt28RBV22kslWuZaV8oUG2mI3NuH06It1dlYpfKWdcgigs+daftZO+bBpkzKKHSsz
9RGaW9veofOMQlujo3g/hE364NPoDlhUSnDiCIa2ncw8up7mQrzsdaPcUvmZeKag1+csPeWJWGIv
F5ImtUUgnI3gUho/G9+sCYH6vg518zk0Oj7woS+eD7rBXc2ShWJMXU3utkKjPneF0m2pliqRBxjB
ObYP4UybrNoRyxIrZ0Vo5jvyn/Fe5aXehiEfNU7Lhv84JI1PQ8N81pU6JN4sd2BKOZmPrrGQsyZz
yPceKlG+sBLNcsthfCQt1hxAVSr3htXTwtc1pvQAGCjEVdXGX8SxFL/moyp7AM67O1a96jyJfHNf
YnS4lCtaNUIwoo5kZHeSHp9XUhm4DbT8k1ITkaHWZbtpIqxauXATLcqgVqdRcZOG+WGprfEjXTrr
Jrl1R7lrN2qgokZZKmndWPebEzHUs21gVNXW0NBdZag3z5pBi+ymygq3wnG95x3GK63I4S4Wa/0Q
qeA9E7o9HzjlSEgbNRVjgTSdUtxfHEDM0mQPEm87IinbRaLgb3y61W/gP1oenynLmXRlvoTkNl2U
mEQfqEsuz1+lT5QWYPmhp2grJWG8yXIJ267uJ5su9vUDyvj+gtKP6FxD8EVvXLfhPas7pB2weCXl
NlIkr2J7MJkJVdx5eFa0+cHMQg+R6EbzF/2gucuhOoVib/f1U6m8SEmrXxDuAIHeyZDXsY8Uw3Y2
dJjlERb5K0lMggdgMNvJwOQ4SPJLR/3dYwGK7tzXR7Y78GJDTqVGIYiDcPpTNpUx8Ua3ps8LvWr6
YhmV9aIQ8nMkta1mNxdb/kJQi+ctXgZkTjIiH46Fp3LZ8F52VX2bEkpzBzMIgYPOuPYWdHD43Pfl
vM805LpBxZvoIiil79YXHyDh+65aAL+v5G7YBGJMp2qM8JutKtWA5SxJnozK4asIz86hLrby0FUM
gIIjccMSAM23GeXLwIg2hQxp1R/59hKCTb6g7mg9IQA9jR8iOrBBHZ6GTuw3ddHJDpUd2mKmzr+3
Ijx9RJTzeR70OgIOEIVSkiH8GBrFDSk1dIVpKtnGRY11VqPK3LQiUkBTxM8p93GyTakvOSARanav
Hi1kSNO2ZrruaZBiW0gjJQ7a8QAqXHH0INHdUen0rT4pwkGE/MEfAWnax+rgdiOm0ShD1aAVATwm
rGsnVSF9odfqFlr8g7AEdrGPsM8sExlatHCidINuS/p05SvDQruG9zLW2CRehV2VIE3XTQUwB9JZ
6IJbEzwk3kQhhPJ+RiHhpjRi23lu8MzimoBM1L/A0Ai9BnGRG6nDmRAYJ2XfxJ4im1TwRmbAYthc
qAr7MyPyY1ub9XPelXPRaPZwgDX8BU3gtNoMKExduo+16GtsdSzJQyMTFORPl2kFKrkUH1sahMoo
u9NL62KSqmIHnnnCnQj2PQZP4iJrI4mGFI3/RoYkjRz0OsrBDybOKnHRPYq4jV462MuxbYHw3jUC
8sgUCKhjgBnx6PluNlmtPrWlVZw0aZBtFMALG8WozG3cxul1HgSjMzUimeq4ve3UIDpXwPBvqkLd
GgLuoGzKOn4Pr0qjGqfR7Gt230pfZIUaQ+A+MYtyfjfX/b6GImfHukxR6oSGKqU/slpanhs/wnnR
JTh7rBS6HfcNC+lJm2rmdQp5ZQNrOPcEhMX7ET75YWpDa4+insnPV2XbKvJko19XD3OYipu4zXtv
gFDj9C2kY3+k1Ek2kvZGB5e2xxmLbysetmWN2T0Ju0szM+4JCJFi6WZg37q/qEDcQPoxNXv6iflu
Gml/281bU8wlPFNpf1Iaceuhh4Drr1/GTdl76lyPuwA+ettFe109HehI5t8yh42Y/UDfY4vdeUIr
/4Gvbr/LQZve0IkQ7lVVF9FFzAFCtlFq+MyzsYPTj73tNVb0/0Mpv8RGqDZd8ub/52DKzX/9r+KP
y+cuLX4Nqfz91/4OqqjqX6/AUzrKFELpFFz9O6iiKX+BJCBssvQtEdJYKi//FVSRrL/ooKKFbWn0
JHyyBL//FVSRtb+WCmV4DpRw0c9NSeEngirooYlW/hJUYUrQokUPIbW19H9YBj/Gr7HifllZusgK
3ZzUB4EGHZC2N+Cve0mmzrxrByV5IkyBY1WLCygjDc49LCdSMzqGGQ/fzHjs1BOrD/he+OgGz3Kj
CZ+SEiq73cuWf2YGMMa2iR+q6AHUQBifiC0knTs0nX6vhvPQX8WKlFqHjk4AIgmYIMTTCg9S5yZZ
4sOPpl36ifL95IJaZ7XcSGWPno04RpgYDtx2qfs6pKl4Ig5tdyJkXckiiW9PsbkurEkyaj0+ch1K
bhSDRfcU1XIoOq1s9Y9iLEa5k+J5MO1gqMbLXh6Wk0Ddxt91zA/BaV9aMJNFGa24N+D9wcYlSsNT
nFccV5IpqNXTzKqglczB2CNrNI3pi96PA6JlK/QNu2j9njQvGLcKkhZQWodQiZnjEMqUl6Csp1NC
FnSfSEbMUkcZOuECqtbE1svnYnFBNfjHwUuGi1a1oKbIEbC6sguhXv00SgLoGrAZsV1UI/phX5ct
aB/iwr8Xpbn6lidWd9M2cfSj7brh0EZ6/JCoiogxt1x2qkEiqufgFeozMjDNVaMFNLZxVJFP2o4P
sDv7EWo83yTw5sCDHxbHgSQ9+pzIzgNO9am9tIu+ULDZxvYQRbppmwZ7bJcvOGfx0cqs20GZAmsL
j8K6nJq0DOysWVzbkWxhgInQNy/ox1koN7TRSd/EMjau/WkoOsD5bLiRq3Iby2Saa7wD6GVsgPJS
esa8JjieJZAFAYqbkNwDHM6lZ0Zl9pQAMvbtFor2pqb+uUICZuXfpK4u/K2VhMU33qvsK0FB7Cql
IKMCr9QpvY8q1H22Vcg4RyQJPUrfAtVO2jk9Kwlaj06mR/49wuAYCUo+smUYhTq7nOE66nwujYYQ
dhWmG2phUZwVhYmBs4piLlDMRnrQaMW3fhjmMD5HIEvYVcSi+KWeox73M7ReJ1JbWuFizgl2p1Q8
fbxIs0nKTSJ8owlL1FIBnu6zq0twHsY+gF9eKbG+beQOUn2Facthb5ZTWmCMIrjwVlPoGIxLvut4
5lBHBrNKLWahB3Q/cwYwryZcCCmiT184RQcagisPk+Q26gR2hnDlhMwLAq0hlElKSXSTYB6vkQ+Y
t4ISdj/AVpQkmLpEO01kZYjcvI5GdqLtYNTIywv9Wy+NbLKrYDCezDpvqOnLlRE4q2iVN4FRxPeS
kCd04IxiK9Hchhfejbs5f8AS1oSbTELy54LGH0Jw2bGhshgIjeX54zSdBu0iklaLebjrBZV9aDSm
ER0b4iz12whwFkZKKlTZCQCqxx8rxi1viKnOnAhlMbWcEsD8gVsruoU6BGcisquLjtrba1/amtq5
WnTa6BaNr1y3OqExd9ZlpqIUagDqyCXGm3yAz9AnHbgXk2QQsl7BV1WvlbTmyUAqYxwMzv1XwOKj
7/qQ4l8J42gSYaVwGN2wF2IjKqO7/1ECeGxdOoIFD4wzXjOVVs8aDV1bXfaRjlIccxyhBFI45V6o
C7Z9YjImzSbo0/G2GTgL4k3wjS9iNIjGScOiNTi1EliP+YxLCU8IsgSvEYeEpupm6G8DlkPkLxYC
IpS6E7hcNYSNaosxVhg7SKr0mvMrbZpMZK3fCKYSXmEWng4DjTpgfYB95ATDZyx5aaZnp1jM52bv
p4Yq2UPcEvSjLtfCf5hXE/l1SboNQffXdpPmCUpAqVVu0KUFJY98MlBXWWlsy0U8XQeWnr2MbFDR
coY18eHWnz2TRtRDMixWrgLXFJ6nxkwtb9Qy1BtRWQAeDTCk2YPQd4OHuV39ikBewNkqC0kNU3Yk
dM3HSDNwR4qwz9WkyQ+KYEToL6KUeb3EUuoThEH0vyp1XWCN67PAcI1xRptHzxI/H4kxtXCkuQ32
erEUAeAbDF4Uowv0k6DBeuv6aYOQp22CUCbhiXDylDwlYPgEgskj6p159PpxMkonLAmIYEYKkpll
QhWeZsImCMNEa5gpx9ZwEwXVNNxEmd6H23zIxdsKUBwmPpTc1o4AmFg4+ESD1jMitvfeIIVpStCs
iwlmxGFObFpTo5NGi7HRFYKFMihoks5yVMWXH0WzEKqdphIAQa1VqcFeNLJJcThDD7dmsPhA1AA9
FBCnUVftXullon5mz/3Htoy5Luiy8euczEAhg1f8qph16h20+Y4YQdGNX4MmJ+jRRNo478SuZbFS
zZhZVgS9X96q/gRWR2FlxNbWBykx+aDTXX2srKfBQDW76cizDK4pG764xR3U+hzYGutUgacGWY2P
YeLlol82m5FGupFP0xyLRAsjYIt8FyaOAEMSslyJUzSi5pbK0jEbfkRTy4PvQWcNxWZQJ+ZDIUzM
cnNOpmibyNMSP+6aSeKp1LwOyVDzoxc4BhVWDmvWiakqGpwKguo4blNtnE4TI8GP1HdCc0PrE5Vd
wGErJya9jTBbxuPr4AwCDYf7cnhJNCM/x4xYzZ7S5OO1zEqJzbWNfXlrhYrZ7OY4VysnKHKl2g3V
EJsXwZz3ujcQreCfakv8O8kUcufDKjWFXT/0NVWPEqUghyhma7OXBqGg5nLwRR1KkskHhBZNGN/V
QAjGIQ6bN/uuFriRYFELRx+CIfMI90s/fKJQ1SICpVksnvs82JFBkzRXC4Sp95opIDpc5Xrx0ISj
BFVLyIVTsVFQhjfKzAbAGIKpoIwi4gSZEO94KOra9/dBmzCXJoqdEJ/0FHuAIGhJy6tYq76ayEeq
bRA3YrAfsLkEbGiImp6LylCPJwF6HPWAOpNpTE+LOV81VhOlSKDx7H3RisVYihfxdgh1Ec1KM3T+
lpBQu1eS1x+i4FXaF6kY8aLQ068zO6ISVVEzGopL1HC2diUxOPVEiQTpLrdGOTkwA3Wa5VBCEiQt
OT15kKn1J/pV4+9J1+YZ8fwsqbZxZyB1ySHOKptASJVHcxz72lWwsZ0Lo5IvXy8x2+atwCXk+D2v
qVTyLVyLLVdDelUkbNC15YOPQ6+1ZyJDtGFhMyHWzQgqpjwZmzGy2gr7niA/BvMwfo3h8zCl1Yn1
u6ZeJXBnCkB0vGAqk7TOK964GKNezeSXmMj5KDLBiXLz54VRYyYZBWQBd+6G6iaZzax2csLr7E5z
Sb3jvg4vQ5Iqs4eOLD8UQ2a0ti6N8Ze0mdk/RFol0oCAzqFF5mAqD3EkxrqN0ISlzG8iE3VPVAQa
KcpB3ZuUuUhOkM0z3mt6wdAW9gYbyr6p22uDIxOLaOdb7FCV4rtVmcHkCW2rXptiXRngPzp2iHIw
jT8KI5kM14cYWTm+VQkNruUgfQFMCEuNA0fNUb0awm9l3bcZVou2irwUvLabpriaiPYhZbHDuWl+
ADkRCugvafpg6SMZ394y67NKRWiMP0mfL4N40O/nGVmRXVECh8LYGKS7KhTlascTJws45Wq7mQa6
84gj1F3k1omiPfrmhI3SqKTMIWzHR0rn3nZeJOExBPMh1Ces9mXm+MRrboWI7OfVWJnwKJWpy4H/
03eikDisNd3u+zj/qpiLXzTomyfmc/g4N72gObFgiYETWEMEAQ0OasetFFTDNvIoJKCLZQI/0UDo
0cmkkp9kltgZVP4i8YHd1s5UFpvqM6okQEL/zd55JNmNpHn+Kn0BpEGLLfBUaC3IDSyCQULDAYdw
B+7Up+iL9Q+sHCuSOZa0nN209aLKyjKLxHt4gLt/f8mrmX7Q7xVViaKh5m4JhXOZ9V5OK30d1vOR
s1PvcIbKqvIw5sJ0T/DX65Wc86k9zJU5fgROLaK9gqRziU61TYMDBIrBZC4V7cIrZpzPRmG790xp
i71rgn7F3AexGx4rsT0TBI567Z6qUYPSvcnRFJhJ0pT2U+mWF4BGQxq7/qy+lJouyqE2cuMwBvRf
MygpSSNex34ZS1NJf1+F5vCZXhUWQ1e5071UuQiPPwz4f0oSfpQgfM/2+GVYRtGETIZIDoyZ0S8i
GWPOKy8vgPbWtaf1mEbuxY/VHFZXDlTi53xa+xd8QPWH46UUj5JO4TZJbk5Om1DsaXAQG5uA7tqU
NWJXSOm+//0H3KRHv3w+UuaRWhB8gbgs/EU05yxuj7AxynYqzbMrb3T6HciD9RsRz6+GkA0zID95
U/JYqEYJOP4ZM5jKpqbjd853kV7C5kIWVRnsHIppcYz2VYV+QghaDJm55/d11N6T0HYOs1X37aPw
RvWG8ZHk/7//7ttFf/3u6ATxtHN8JkBokx79IJiiagg3QJoVO19+oUC+BLkl4eY0ugUtF2vzT+/0
dxcYMpRw69Ug6Onnq7HMBK5B50ri9WN2MqmzYCP9bSTAL3IpxKBosjDKEtFGYBChAD9fZaoLf24E
L1RWLBlCVV63m7LX0d5AV8CGDAbRtF17cOw1+41M91d7wPdr4+gGUyGbyyXL5+drR6Uw06psHFyQ
un1t+tSh/pVjPxKCQWJMyAqq+xwm+jChpmxekq7LWmuvqCTPef5o6Ty2Nfv5Q6dW67L3lvULOg//
w3CgYEElPQYcS63py+BPpf0b9dz2Iv70MHDjeEWJ2IRbAvT65WHAAluD1nfQ7ZXLdI2Ehk1hs1JM
q/znlyJfFZAOwA5NuP/Ly9DVZi4rkmxZ2GeKP3u6VbVD0V0V9fI3L972c//yrVBRAQjyHzLFzF/k
uCX6EktPim81mOIiT9vuSFE29Y5GkN2P+OKpOZrKpGy0cwmt/Ltg5b+8YVu0/SauJMOZRzIAHv3x
DSMjKBrRvticV7PwaKyjzeos2dNNwwFAEeZv9PZ/Wc02oT1KQdT2BCD4361VP7zRXaYJ6E1dRDp1
5Z6qGii+h8n+zU3967f6+Sq/PCoV/mujr5w06QwzYJzxRVJvp1srj+7m2fF+s0x9t0H9/CMS17Zp
R8laAuX5tbLJa82mgy3NduPiQFHW2rvrFsGJN2gNG/ys6ixbv1vQmekpryzryHIbNbuqBzIEnl2H
F/ZLBgWGkppAL90W9W4a0DpQdCwCajnHDhkLTyzlq70crUet1+HRLPz0c4HM73dxX/+3HwkY2sR4
TfQhaZw/PxR5ZwDoMGcnTij8T4icXnH2VPd/v7b/9SLuFtJi8sibvkO6488XqcVSw9WbbrLUDk2E
pgBA1W33r1yCf0Rr3HRf24dRfv06Iv78VfH5k2b0/1+VKMVWkf3DD7DpUH/SiV4VtMj+x/GrfCuG
H8mNP//gn+SGE/3BUsD+T6OORRDatjv9qRj1rD+2M9KWVr9ZGiArfiA33D+oCWRXI+009DxAlx/I
DfuPiA2c4gROGBxj/pliFCHq9vT98LJxSHMZqpCgw2+gT/01CmHWLQBT67JiovC/DT1kWLg/EGsN
i7i2a/sz2Vs3S1Tke2tkkmpCdHkDkkKb3vA2mKy3flXRWRkW2aEL0C+pbM5jx4AxpmMUzI1o5b2j
ypTsRfcRbxlFh41or1k+i8uMeurYGevqJPsSSn9LVDOzAMkc6rKdRXB6OWW3/ZAuxLaXN3M5dYd8
XO4Bfo5DmIFY5aGx67R8qaSh98ucsd+2kuVXzn1S9N7w1CFEuaSuPd0DLhRnbgmD02r51EMKXxim
dL943ndKtg2SkMseK4ORYaHL9m0KWvchrKJ1XzJyHIrO+/Dy9ppyzexoeqPvxJwxJm4LZXkWeusT
L2CV0IP2iTCu7kwbobwtiyxIiPzGa6Xt8CiWZbmmoeQmM4JmK8WxjrXFzOgS8/Z5xvK9Ef0b4hNR
bu9Aifedehg4yh/GJSpvBnewQZYIRbQFYeVDYEz7ai0EPI57pw1kvmx4GlEf+DT9ydR/D8LaD357
WEh3ih17UHsgZTR4skXj1Pb70m2C8zyU13O4lvtxCJfdsK5PdPsYdMEwBlKLITHxD+0ZyyNyMtll
TMOldy/UWB+WPpzgFgBEOUM3e0TB9+toUSONxgxMsm7PvVScza52kep2K4MQGds4qvoXa8UWZvSb
HMui+BQgN1936Azds8mQw86e0ndZTua+g2W5Dw3jmfP8HuZJH7Dt3TfdcgushhexMGhGD9FZTLn9
Yo8T5tYaCihcJsCG9sWo/SOr74ubljzXcBVxlEFtrbM8B8jBtuSVdDoOhFvpqE7Pevpgie1XhA6V
KXnGYyflYxa4FDpTzBlG44vDNR5zw5Unv6GieB3k7WToKJaDpx4DUMtLS42fkYc+ldp77qLhW7Ui
XjbkfOxEdO1vW/adp43pG7XKAwz7HCCjYRId22QQXqfPhmXWzX5Cbh9clM2iPy+uDEFho1Rcu0Qf
U81TMk/czGva3ExhXdYgem4VPo9G51tl4i+g9nBo0u12uo6Mm87DtxAT2Y0Sm3ypaE2ymm6zuO1T
VMR5ym4Ctg1G+9RWDqIqILI+4LewcryXC+vXYfVU1e3mwqp0vFCy6l5VtPLdtKLLumtHAoF5e7NH
Gm3vPN6B/uAURd7sG9Ui50H7bhUfUrhphacBbJiCz6Z7pnLUv9MTvSK7fCVgOTEDgwI8vylhYmw/
U5+oo5yzcyQNxXU2ukFwHMZsPU+JeTR2jRNsCPpaNBO1ZKLndaPVk9cdOrQ/m2Y1kmzoLHZ4VikX
wUxl0xRPV3uU7vylr/o9snbz3gdqKZPR6dosCboe2Cu3VOscKuDX6MTpPfCgp5Td1Rzp9brBvUMx
g271kxmRl5hOfuwtObgOkuII2Xfram8XNI4vDzYJDv0BHbJFSy1wCBXWXhVhTQOvzg8hgB3NDWBy
UTIGYxjEHt2GL+a8oMDTaSfWZO1a7wncps6pUV9QMZO8uiy7rB77nsk/BXexglUDp3UyPxN5DoK7
+MXwgnkYwqS0VkoaJxnmd3OAESiOrAZaKaNMajyrgyrakkC6cLxuhgCX4YCaYrxiXCqMaxm1BVnN
xpQtt5E5hOOjQXkmaonGs09UHPEDC9ubq7MqbanzDrqC+s5aGlLHtqvVmz2k61cxuOk99Ak3RETF
Eu0psEMr5C9ymRH/SMf7AjDr3sIBExjlGsubqxQCdr9wZmdHQzMIUsveGiWiA/07rh6lKxcqaHr7
UERu552ykE3jLrWnAGE9WtpN7O1ROh86U6FjEvD1w+Tr8Uay1x9m25hPtbdemEZeXlSj7Pa4F9s7
L+uvaWDTx74K1S5XgT5MQyZuMpqO4y4y1U3QBWkMCujD13Xc4zlXb1ZWrsfcL6619I3jEqEDHIrB
vKRmBJd0o89Mn5etTesRPJrCNa2zndl77a4fuuGKoWyJV2vyYj+YigNSJERJgQ1TH6UIZQh5chAF
7is94f4UzUOdzXeZwym/Y/9M1rbwqYj0I3mFqiyrniSaZuMyHdxTY7NEq24k2MjFx/cZfq3WR5Dv
21b43TksRx8j5PHORGZce72/XlRGfZSDJt8v32dpewVvYF5NNTjenL45KIyhiMU32VFAlU+6PeSG
dVtEULdmiZhyGEIIoNp3dtOYsiaI23R7QhubIFaQ+rgwtLEVfhcxYk37WvRCJUuOitFEIYGU96NT
3ivMp3kOLp2zO/pXaRvok2g7/wqLHh4SuzBQXtknexF7w2pO/mo5J6nG4au/eolNWfuuq2p1ygsx
CjgFQ+z8ia257IIXaIZHaZnj2cIDsXMN+nzsoYji0ZHvA2TPuPP0fK9wiQOJcEJa9iPDos1O1cIa
d90mBJwnVowgci5KtbTHaTKKB0/SjVjF7WoEH8Zgyew8LxH0JdCZtffSN2aUJ3nj2uuRvqLFv54z
a7ywDc5mhyBazYLeGzVne9kgVgTx6TKxWxeEYXdRvfgkzKZyMOPMa6msNmfzWERi3YvcD+YLdzW7
Kg7GtbwrTTE+lEFKZcFcDAQDNK4lvipOX92B7i7Pux1zcqh3U7FU0Y5o+a69aCijPQm9+mTYV0HY
OqciR854To8ZxJOq7JoasyLqPygbzxV0KbzBSY3myD2dbW88m4Y+x18z8RedYedxkAqWLfDBp9bI
Gw96pposeShL6bJC232TnuW54QW7tUjd8nypMMM8teCm8ry126KA3tgI1LClKf6CfoIqQ65WW0hy
+VTByxpYvFcOCXbFkNjZ4A9XVHc1Mu6doq1v/cVU0605IFF048HA8rEPlZruJ0okjZiItfYuMuW6
7hXOwP5u4czzaXTz2b0RPoaihNC4uUZpOAqSl+CYgwf6w73xuNpWEYIhQU8nMp+6aIc6VXA65ETV
nfgUAyRdrsL8zDcLPASKowF5rEjnM3OPoaQ5L6G7ODWMyBOMLBrzp6ZZKsA2CKoa9N5rjXt7lZ+8
pgpOiDZPBXZJMKSoP1j1elytRZ6MaTvTDmxCiMmRQ+caAVExPaIYthGmWl/gpd+rguLTuHEKuEcJ
3JhUwPUPk5vyMeG692UontTon8Nm7Dm37SJjJNvacQGfzLU7NkN3sgICy3GwZE9lwxNs9Vfooq1E
NAgkvKEhAIHMmdgnstfnPTn4hhuduZsygBaL86kXjyQVUValeH5amKIpNXaWmG4G6ak7bvBLXpZb
82R9Y4aYrpDnJwGsOVtefw5mVp7SyTvjSHSzEZCfWMb0tTeSrlfkD5PRHibH3Xt1Tb/I0L5apUX5
0CDSg/CjhCLl57rvbodoOuV2+16Hotl5bfFg585dPhiQxGmvPxdZ+ynkDaUDA8WtOfYnOPZzr8p3
ju5IKCi7Td+cUR5bre+WSq8wHj2MbkryXTBfkaupEmxe/WURov3FycKJyI9e3N4kKkKIb+ucjXAu
FrPKyPcM1DW1iRezFR3Bmq78wbirm/J5DYZrZxG3XuEU535af+mmEU32kBlxkTr50clhb1UvXrfa
oQQRChrxpYamrrvufZ7kw2QG9xaxZEmWzVe5G52YpQ5DNl1MesA1Q19Sksvgcm0HDqPYT4JlBDax
7oLOYYxQ3W0ZeXfQGgdiGZ7nzRBi2kPEK7rKxCGILF7C8ZWtehNglZeTYREqBH7FUfdVZOOhX3o2
cTqnkp68skWpvTN353Y7qmNpDPWxjLqP1PbkMVPhm0Sk5eQeAoTofM2W55DRCN8bPUpd5n3oiEP5
xhU7UiVOs77PdZSNePKso1vUryXDEHtLN4cX7ui/mGu/fiWlfL5M3eIJBef4AHiazCYurUIj7m0Z
W7XeZ316LpvlqWrMi3ZdyRJs01vMCkev9S8HZjfOl/syMOfnZZou107fVgxW130QPOAIKXeMv3jT
ZhslndThWTGV2G+RJH5WdbhbvLK7p7Xc+eS56rlokY0Osw3Zirb4MGa1TLwmvc170SV+tBq7aKjs
i9RGA7IMFj/P0lvVoXDt5TZ0utsqDbskQ2dygUDiC5quLN7aki/ZbLp44wL3K2jUgwRPOuPvsBE3
Q5fGC0EA+6Yov8LshRBEs8Cik/ZxHUbTYZ08OR7dyenso5pRkcTstlPzUqUatn3AZRHtXTWnNy4V
dmhkzJFT1A1THDKCwbbxoVD/wJ9y09w8cUzHyTFKK++PFSbFcs/Y47qseXYJAQ2ZC0GKErB2DgID
WhUbA5IOvpL0g3iNFtQATuXxb8Nw2kjXxkAwMZXwrApBNMKbmX9qA4eVl5B7hCJQeK8fZ43oYl0C
pS7nhgzDHSBXcVGaio+OeKhoq4TNIlyTCe0cBza5ROcVVRzkHlDTA9saWR1rwlLuNdY9TrNo6s8M
Q/nAYIZCFuzlyJ+ctpvlJVa+IT/ZzDFXuZcz8ESq4UhuFA1HWqBy8YGZbT6fGKwyxEd+dYaPJbur
LNRyF0Y3ON+czOkfUYPSS2T42cShVuPSHjoGz06bb169vmYuJsqhH0NunIjyc2GrcD7o1fbLeO6H
8zFMb0n/fB4LfUHgxfVgYEDYydE2r5pARxdtAz946GFQsH95mTz4U3stHeNCBxGDD5LSOJtnAizR
ne5L8BghCzsBBT7U+MH6VWLAmKzzVq+3rqq5Cf2Kn9K/tAexm3p2zAbTDvUwzw5T4EUerNdIIhIt
lUhkbVLuYDRvYNjLaagQPEwhccb90FwLoThber2KMQY8j/Ww7JvV/2Afutauhht1HnTo5+mZcrbq
dM9JjTccANFDuph2ul+HYswO9TDdg2yll5TpWKwWRqUeM4G5YY88qb5HFlRZcVmCm+4txrllB+Ls
j5eB70QYgpGBJgJvAt9HKFldOL64MnOUJGWO/YG3mMqIXlT2x2CO1zZgUIrJDaNSz5FNiasxmg+F
2b2XNnWOSqAwUPb6CY4+O0rDtnatCnJWRvvAZvSlAR7g6BH16P/WkhUrtO8ZHxn8idncbIaRcyXa
5RUw6SvEL4LfqDLfXE+cF+Ys7rSmRkWyYB7Zntf2oax6jnyh6h3/Fm8y82TWbEeveViMC0bySNLM
3vF/MUUgkCf4qnxj+uHuTCZrplv4HMUyE53u3kTHwkpph3h6qrreNExNM1F0a4hwzzmU19/NcOQm
JRW7d+zduAokke4HhYv3sBbInnab+7tOAACWl7ZxZspexkF+gJb77OlqCNGLVI3ihcbopOSV7Otm
uJcTst04kEYxELMiZrmP0ESh/RoI7f7St1HwuiD9IbLJnY090fIKunlpOLeS1bIdMx2SwtB/VtLc
e3PJTjE4hnrv4I2N8xaH2xJjry+w9pZMq2afxRYFvg+IDscLS/nVrTs4wbeiN3s6+0RwaoAUOauP
wHpdZ34RGKY4NLJ9YkmbuqcgzBVdxstttwyI/jNzOAum6WsjIIUUD9AhnXRgnXet3Se26vZS2GN0
nutwXk++nUnnrlwoAuXtD9kUAAerMWE4jcpzFSHg2Fk0oWYXgx923XHkwPrRN2FBQ4QZLt96Pyuj
PdwlrYljVanoiFR5SrHRifa8hLrpzsbWnQv0aGRwnFUkuKOSnhCOX5BtzshS9SDIMJlsGhRDmUUJ
EtMBtuGnCrPzrgbo3cPMsPBmw5jeEA3gL4kwhUsFRqhfe4ibp3zpTSwfU52MZWPhBOeMVTumfi44
XIjVkWdm0YAsgfF8ddOtCtHMvPJNBX6NBXWqUVQp332aq9qy48H0jLjHq3a+rlP04FT5euJNiCLQ
KK69g3ubVWK2eaAvR2HkcKGlk2bNVVB12noYkLUPB9aYtqdkGrneyfkuSJs1w8tZhbO0fFslYh7G
QYQNDK79elsj3tRvuhRZypScLd6jN5toNaU0EXrJ7wI6giSRgmBUQ8sE0+4+IeRq23sOwV1754RL
IZ/KhX7RszElMYesye96P3jvEgtJH0RiP65ibnd22EYeOstSNOtl6KfcA9VOnBeweLX5qRVipLpK
GlX5yFexEdZETO8HrG380FPkZvldPQjpsunq6lNKC6ixx5xmWN88q2/eC36bb4zbVvOKcAaV8pCL
3eDUqKub3EXRMmUlUi/Dn+ppl40mmkT1XZPp5dT63aR1O767yH/U3uCJAYykbPeiQEwbHnBH+Yqf
TrGfjZmICAWoqo4hjqweuqo2OWnKDmTdctSTTjLNjrzMjGgODrwmvbGbEN+ivEFkDL7ouRH/7bZr
Ymlz9ffpJm5l+kFrpZD5oHiRFo8nGQs2iQIUsXwgAU6jODAaJzpnYTOqBGhuZYUYUxa1IWrl9plr
RGbkuLOUdak/6OvIrfOzCW6TrMU62Ob3qeBhHsOy9PchR555B1TY8QHIlK2OAW/WtfbrOrvRpIrx
DiEwo98dDsDImtl/tac8+IS1wL1njeAUGHQGa30fcPzfjKgjBynSMcYEbqN4n2WW74NRTter6Ner
bF6c+9oraJKD4TwohOzX4eyc9eNoPy9+SjGQPZzoltD7FNzzKeKjnjhxcExaiy69Lp0eleUQTsCZ
KF/rtW+vhDVXp7CTb7nVTQfTpN9NeGG6OdyXa1lj4E1FT/4kmQGsgpl7LdPCPQ9dw0o6zzkzwvVr
4yuytRY7DpimV92YyWJH3Q537mMohzRR01B/8q0Wyo41/KRRXMZrN94PoTy1fXjvAvF9gfV8jAIC
Hkx29pozyW6i6OahHcPLLOqQKxlZAoN4DCLMzLII9hkq9gPZqdnzGIYfc5tGaO5n6xwNrNHvyrJc
sDJwL9DL+V4dSzgcgB3P/1ep5T+iG/+nB9JQFbaph/7GRfXWQj4mMJA80m8/ko1//tH/46QK/3BA
/cCitl7ZALL532Sj8wdDIAW+39PBN9rw32QjbqmI7hgfWZtHEBY2px/IxugPB4yblO+tYAdZg/1P
nFR/VZxsVyaSPERZDQ/wC0XtcrgfhmlCfEjXd1KSu/Loq9E5rY6Yv/xwh27/RV/+KEP7KxvOpSIb
CRbXC6EofmbDR6i7DeppdhZfOJmt2UvYsz/+Xy7iW9y6yN5MYj9fxLRYKAK6unc5gN4+b01E8ngL
f1MFQJLVzwwtsg689L6JsMQ3WfS8X65jcKSs7Q7LfdhmxgXuaT1QTVwv14LUk+DKzd2qSbrWhG11
OmcISYdJrTE2Rj3KC3OMtk5qmar1g1IBMyWBwpDEoLDvEa4Q2xuTggIvLZv81ubUDrTCi38MMjcs
DsWSaiYoWYzMeabh6ZPraiMgUSHt69jx52zZdSANX+0scz61hZo/6szJ1l3E9mYmvZ+WTgKdtZJg
nTXwx7ZeuwqjzmYIHm3X+CbpEbkSIODkF+dFESTSLqev1CBi+VG0HJTJRKTCg/aDEVxDeTYAokiv
raliMW9STIKJXlOJfi1oLJWIdioVx/eJQGlkt9mLO9lqYsRWYLx2ZRHjwyBlFwA2vl8nTJxInizT
Hb/1FRxNkoYNvoG1n9tnzy49ha/Mt7+MputihugqUh9mu3zj7wcrmK0JVqYwv2u9cEqQZ4Orzr5A
wd9iPi6Z9IIu8N5Q/8KmkvvSEtoxh4TOIUIRQP7VMG95MO16hdE7DBKKmNvLcKk0FC5Rmm7sBisD
fBHKCZAQsrm6XIYedNkPgIi5/44Z3Vm9Sd5m3vre57zRBpHhWsu7drSJ7ug9IPzYnI3BSbx5Xa7Y
geQzjAnmO2a78lE3SrwTNkJkkN2w1dMeyP4aV1XdWck0eFpeWH5bVnBkNRLwytLUfevALb+mVpY+
pZVQj5wlXVy7zVwgng0IpuH0E4QdLuApk/e6F+KzbZblrcd5AKKh8OvnvAr7z3ZIGACFD7K+QTG1
pLuss/znymzaq7UMRiZgpNL70WmnZZ9mwXSTeku0nLp8DF8d3GHvUhYuLn2i5Yudh2b20itd68oS
Pr/E1FXDY5S11cM8RMGZaJuRBpbOk69RVqtqlwcEvsQWevKTgUcRgZjO5WcPPgNjWbvAAkejA1uM
MDt6m/HrYHm24dmw1qccIJbABVnDb1a8icyRaK0lBUnJ0NTCwgXDXrkzzQXAzMNQMMelt2ZIJIyJ
xGBU7QQNeBK1Z6gnfUdGG8pAy64FE/Zqo1tYvdHNEqNWzdtg6+5uFoH/UXVjetJUBc8xBwfjVefF
Z2EBFaJ1MN2XNJgIv5wqnxk0bX1AXbuwbRirSQ13NWk8NYYpdy3jEIJj3C9oxjCvldZYJb6RWRe+
1uaN9iaIqdJeYT+wywkrsZpafhpCg4OGIPLzi29owpba1uwQsRvhaCaiMjJSvvpU7yfXhBgySqNL
9ypQ2N6qfrOXysZApO7ooLcTfwyrNzWSa7ThYigfFCdxHXvzYpytVHaIuLLa5m7sxPari8AG+hqJ
XkyUauvi3CZMxIGJMuun3CA17NBA1lmMwSVsqDnrdQVlmlpGNBMTB6Yup1e7fqoh+YOhHKcjI3X1
gAnQ2dUsQWGSpXCzhMH0gjNxuBDup4M8U0lXdMhzOwO5e1xtNBvRVTp/gSqy9C6sAHKPWag70Doq
POyjKNuU5cldeoJY8kV8MvPt9a9mnIc7XsXwKaun0dwXEiF3vCwE1+1FVRoGTxWoQ2w4FUnWaFiC
DwQTeXPptVP20OTp/NpNIrgJmsHx93JNBW06UZsfl9UmHKivxgiPykBTVaIzRSwMBgT71WlCTvE0
P5rGjjIX4n0qHYLGVIi/3bimsOfOCsfwPk8NPqkBQLpLhcjshMEjBwqf7Oe2SoOj5XpGu1OrdN68
YrMRuKCKZ1jtqRm1PM17YKeT+WiFwj4PjRmTYkrC08dQFdkne9b83FOvoRWoruJcaTsN7g2cPmUW
MwJB1A5lZL/UtZ3fgEbgDexzy0ZeU+g5QfUYFbsIoEYfgQ2Db6G7lBuAk2/OzVoGpD+VkilprJ38
Fjl2o3e4nrv77Y7MdNd46WUw29YrUcuSE3vfFviN67bdZpyyu+Z/RgOuHWU/arQBz6poJ72vLWcE
xAzm6BXwLPy88hRfAsJ3TrydXdodKJIO4qJciKgpGDTeRwZFlfTaL/i1M5ARlB68OiQp1fWX1OWF
jRFb2OeT3azsfghVIH3nacBoLWWHpwFa+9YbOuuaWVWt+5rO9tew9M1PzQBwtNG4SsRB2nvnAZZl
3C/htFV646T/gt1h6vcNTs83+DVdJ6QCVi/9YpVGPEdZ8yqtufGBiLv00THs5QlVpYHSSgHm5ivR
8IzBRu4CM5maehreqjtcsO17G3X1uxIpLrwlbXlTXaDzLq6M2b5W+eRY+GZ85470h/axSRX6hMXK
1k/t3Ac31jA6y66wJ5fAprU4I9WkujdyAjOQDgXofGbLkMSkELUXo09oXBgHA/Yrc6bWj/3KT6/o
5KNWtuFYByFXVI9GOU9QTME4vyhdZG8uqewVu7i5ft2y9JEeNRbWcWGOICNqbIog9peR5RmMsHmQ
VCTKGMv+crn0DZlXYnEf2KsQnmF77s66pq35A46pFL8rPlj489Z+DQrPs+KqzodPBJOpZxfBFWF3
deidI/TxrvBFAVDIgONWMgdg3GSATbgsy1BaT6QgmVDbmuiJJmI6Brhf1rvWHEx4+BQFnAFIdO/D
A34Z/CarUXZsirvQ6TtuU1nXl4IsDp7UccL5l9Ue+6u9zMzxhZ6wErnCHYlB8fHnVHxPzSh6OWWu
fFmdagZjlWx1bCGXCszzxtM13gqH7elBZ/j/Es3dcXeZ1tPFuhTegkN79knQqP0ZZZzIE2FV0VOd
F85LMYoxJK6ksR8aC6Zg188BDmtVSPVclrZzLUsPFHIN7Cq/oDN7wpEUkSCSQO7yWFSFWJ7LUEV2
3OEeu5RaYfqp5sKpkmV2xO2gMxTZ2jazeU9OSk96JPK9uzQw049FWLzICxWlb5XjQ3+qearjqEgJ
Ilhng4Atn3UI/Y1XDRVbksy/2VC3uBCNtX+PFkT2pFlL8cS23X6eLARdh8qcrTOkuBZ5zG7mXc2l
7G8YYcsHr7MRBk+4Rs/WJhNLTHSfeIhw5z33WeA9cxQJHxqkTkzXdCz1hyoa/S8alwWBSQPhbg5u
9XRH1655zgYb8lSwjPMENQuCZf5B8dIqFRpYElv1zVxsfUt8QzEmOVKYyxCzB8fdsk9nfAHEDB3+
flL5y+RlbxgcyzVCz01WvU0YP8jENf6MVgLW7rzK6O9qA06bU6s65ovlv/z9pb6nTv+gJ3U33btH
lgdgvI+wdUs7/fFarcSA2tYNKIHwnEeoC2HEHXE8n/uQdCYwGYytsa8WgpJqF3/jIeq85VuzAFbu
K8/unq0AxQHwMyrvC+IyS0ByYgON2G1N60JrJR47ewrNHb8rEVJyXn3o+w4otbCCa5Jxy29ULg13
kesunz1PLSVqUk9Q+iKq6G2zUH22CuWT59Ph7R8bO3/0pbu+t6puHhQSyTUmW4furO/35X+hjB8C
YZiT3L+FMvZD91//ybAo/uMBUOOnVJg//+yfWIYd/rEF4uLpsbfJ98dUGNf6IwyIdSUdn9xzEtf/
DWVYwR9EN6JnBrCgEBpjxA9QhkUoDMY6HkqMIWing38CZdg2f9XPsmkKAUPfD133v9k7s+S4kTTr
bqU3AJk7ZrzGxEmcKXF4gZEihXl0zLvptfwb+48jK7tFZreyS5ndT/VSllaSGAwEwuH+3XvPtcgf
8Rh7f5vnrVUMIcLhNgVi4SHDze5zYvSdOhIIRS0WNQaXqNQ2VCzqH5fPmbQaZzPirUashxOTkgyJ
eiiqIKwJShN3IM4KrfMOvSC+rAhPIfPNuFXsWOLXcUTtBPu6yQqQtGncnXVLMEHRGgtSmEuTm5Tb
20hRR3YOcIMtRFk/dxyoGWYTzBn3Cay6kzkU+LhnIprXitU12vaRil5Kq4BhWdYqibYWs8Bybwoy
FJ2X+9MZVdTjF5LH+Ll9tE4F4AlfJR65ZH42vHikicgh1rAp8gAsFJtkIwfnKJfl2MmRdy55FVce
zz1+ER71bWqiZBS4g8978F4RrjtTmLfmsoAx3Ug0hvROVxuG27hrvYsyWLLgyHPCoHuaCtd5w/+W
FgfDroyl35UIzwQ4CatSZTFiwp2PoIXM7c4n2f7II4kH/chP3CSzYcEPxq9U7DvJmXYpMud2KQOQ
VFIS4tr0KSWWbPcdkKhJZ3kPYW5ALg9Z6I4yu6luBWA3qDWxWPg5efDomkn+wvSgnLHegGzfO6uv
sYe+u7X9BeKc/gSx6cXJiDcrHZjwGhyvUK9UeKORDW/zkLnPgZuZz20cYtCVJADrQ1cp8BfxNMC0
gQcDH1A7v56E9CNr54IWiBnpa0smdnTi4I2s0kt0PvMVd2jo7Ubb6tt9wlk1YN7tjlSvAU+j+Wq1
esKu1cEXdoD+YYrV8BibtZVxUIc0scG1l1wnq2sUOZKDzGx0xteOPUK7TQEKjeyBI//CaynfxUBO
8QAxX688M3M2QFt3NaSWTTfepPnowSsvLPmEwjjGG7vuuAhRm9PoaFTcHCD4tMO17kwy3HGYsMWt
1ZxeW1jH+Bj8yg+QmlIcsr7qaL/AGFnl0Me0f1aViRAgGUkNbAJ2++nBghJxFKI6YKyISoNBgidJ
ExB/5l6UgIo4WbgVVt1pte3mEIY52E/Me3bY1fxqZ/iJ8+jyfEmPUlMDQJrYzqdyWw1xHZ1U7sD4
ymq6fmHUNJKVnqtx+D72PU+2AiXk3kmhKu8E+YrvtQqkt0/hP9JL3w/5c00tH2iGuuT+ota2u6o8
i4NMjV393IBc6m3GOFraDXuZpcIctQTuBmuvf0GGuxR7Dg/Y9SPmgq/R3FcMOqCi3XqNld36Smif
xhy/dCogP2hXgfe1aWITLSHjucel7tRL3yA/wHwEv8uMyb0PVFD3+xYMDvfazAN3YxedtPBtl8lL
w1QJyF8VEVOdk8oLsIyRrN5w8Ey/yKbuThe/YhX7+Zbhw+6ExRix33as38skPyyl1q83O+rB+vtV
+8NLfRhBf+ytDDx8yXFuFfuGKGS5WRssgwakeOdl5Unbx8l2jDwmGTEjLbay8s+ajz4Mqn9774yq
GSHzkONx9/4x8otdk/pt/bAnc3h68OwzaWIQayXjh5Ds31TJ+DEfq1+WxzfsNo6DFmj8D2+uw+/0
10vW/ov3+u5FP+x1/1pD2Mdb9+M71B/vDxvrv1B8tgb4PnyG796X/lV+eKm/pSXvYzbs49v78M38
9QK5P2nGo0Xh/bv7q82GHySVP9yZHw4pf7WI7+Oy8/E6fvj+/WKRov6l//s7hITg+2uIavO/UHUp
PkScf7Hq8s/ey4elY/q1clD58xucuPH7S/bLXafmn73Qh4Xiby10/fkixXHq/Zv8G8r1fr4GA+h8
/4rR31UjqO+9n30DPqwini1/oZx3TcT+7FU+LB7j31XO+IFt8GHRQnB+f1X/tjbKP3nd9Uv0w5Pn
l6uV/6vX+bEW8cP7+7+sZPxoGPjfrWT8sLj9jyoZ/zV4+mHwRHadHPxPPDQ3SfVvR+1z+fr2b68M
n/r8nY3mt3/9u40m+ATy0oY6LPCP2JYeMP2e2fc+MZIKdFkb23XP1CCT34HEpvdJsMvWMyn8MlAm
+VB/BxJb1iePcRQECLACAlrMPzV74qXeL3PQAvghVoDGzHBE4u57vxDwh+SsZkKsHT5iemHqS5jr
9HxsjAWZPr+iEEJFCLuFrRDtXIx4eUDEo1VAEwUGBxc9XyZze2sGpV+gR1lQ0ZcKl/lzr4hxXi2h
EpmiQ43jVLwnBTjHzwn21MA+IRFRG185e45ADp3BGZNzAfHQyWn/aPLR3si8HZiSewbYrdeySI3Q
pwim4TCMhkO10dNYloumTK7ulNWpYq+uFY67msXdRrhZ7BIC/LnjG/6FPVYAaTxtfZnW0fi0jslV
G/ATk3V6vg7ShYXJNy+s8ftS0IuztfTMPasqgs6Lj0S0MSBw+tDtmNC3wupCyn+Y28/rCB/7pvtN
rIP9IsWJvJnzJLhNSE1+DbUGkIRddTuvwsCgNQIqLRj8E+5Lb1NXNpee1zjnXHUsnanWGJgrZOHB
0spDqjWIcJUjCidpX6xVpGBkFX/vuq4lE73KGOWgkDTiBMQqLUBhhwljmqazResfiYWXemNoVaTR
+sgiLDyRuT8T/+9WCaWZkvrKj1oT/sAqsuQI/J9JtCK9IJKhwjgaMpuv4ozhYpvciFW0MZIaASfT
Wg41WMPXdhV4yLgg9oS8tdt0lYCcSZj3tdaFKq0Q4dlALJq1bgQ+Egkp1mrSvApL8yoyeW3X3rqr
9AS8M71MtB6lNQeEl7Df96Jp72etW4VawYpitCwsHN15kmbg6K1V7IpX4ctYRbB6FcSk1sYybNs9
0yotmXWrfJbElvEtatHUqlVe49yO0rZqbqv81qxSHAQg8Zppfa74TaoDnT+iR2gJD12/1X7jwjmf
o9w9dVa5b9bKX641QEzWyIHR5CAoryJhg9iH5oePwYPUi46IoRZJkdmYfeuO3nzpacVRreKjAdPh
NukCUnrTKk9qCE0D8FjLlsUqYcLiJTEdTwzj4E0bT71WO6NMC5+e6rM7UjfubWVPPVqw1kjtOmPm
KlbpVKwyar5Kqm1ZqINchdaIzAy9XW2R37i4Rl7MVZlNlfQuFy3XhiJiRjUQ6r3LtZw7tsjlu2zM
zQvmWei9y6r9jmToa+qBzOgFQoT6ZkemTSOVVoxpdUM97hrBbE6tqrJZ45M1V6lZi85q1Z+xPGB3
Tg0kHKNts3t4RWjVpZatFQBYyKxazMYXxQAG2wE/2NdyN1xYxoK9tLjOwSqIa2k8WFVyCHfyotfS
uWoAqW2xorSke1Z1PfQb+jIi3s2pservnSdyamC1Kq/i3o+37arWx9AAUO7BAb+4Y4yeHyqt7Vc2
fLwds3s0f6Hlf66j/4QQHTwUqzsgMrJu2ndRPX0FUmDeOTILicZrU0Gx+guM1Wtg9FDI9m3Gxdnm
qyeh5q/cWKtToS5UfEW+Af9CkJMg37VorOEmWD0OobY7THlbTUdUEeKCyGU9Dlva8RIwBMWwaMK4
Xx+59YDDwpKLzg8nEmxROtcEMXorNShWaDvvokvJrG6NJCdlY9dp+tDWGQJDmAVXBaFRJrphuBib
gJ7RCs8EzGeKkOwFEmnswr9By30U5Cn5nlWOpqKYWfjixlENhDBoUpsmt9ikA6bv5lN7cQtm8QI0
DEtgkyd7m2k5Gh9ig0U5io83YDSIvNf4v09URUKL5uZB+Dt/ic3PCsrilyhrCYj4rZucibzF3O9j
kQDXhHj5fUTW/Jw0RQeatBWetyORadHJZ2q3iNOBr9xgcDMemEKNFzXVsXLnJ4u807ajcNvQzGfC
d4ywT+GQNwew7mVw3dGCRf4oyeJwH4ZSYs8SpvFlTKzlC+2FvdyasgcrL8E7PNvw+jFnjfXcYtES
fF5NoinyitzJlVUSkErrDgG/mBZgX5Y0rGMk/7siq1q+UVazGUpjSDBpFAn8aJsUN2BNXAJ7OdbL
c5NSzLUtB9o1DqIy7eg4lyq4hkMDzisIps48s+B0fpUL7pFd2M0zYGd3bJcTM7WBMPDtDi67sjXo
0ugMoUDDQ9A+oUe2qq5h9zqAC+bc3TCJVM9OE5K7HiDH9vu6BIi45XHuVnwUEnf6JPr+ebBGgwB6
30pG7hhHwfZMPM62hB5BujpZFFEhmRCH3zS1nz4tCsj+Jc8imcIINeSwLarOpmEWOyNJtID+ntOc
gFNxPg6JTxI2o6PVGhbiJUU1peBNFs1U7hcBfyhqrOKVIgCpDnMMU3830wdpHiLSeh0Rk4XmQJKM
xJi9XtnjXZov+CuLvKZ+xBvN8CZpPLB/TWplBqzhAVDBjPXpLS+neqCwsAxuiHHAn2uWuTgnhNc9
hB3snS2GPfec8pMaAANlleDf/TrF6EYc+GboK3KyBiiCCxnKGqRDNKOAyDGgYjMnj/Jageb90jo8
7GrHh7WslhksDRAk75l7oP7uh0NCapj2qpulB+/IL+h4sLDZTzwBiRi77YDtFFlwaP1LWVuNRNTw
l6fIGMU5O89BnPlmbr2OjrRoazByqm6bPI1OQuLzywZgVHk5c+tJzIgWuXC4CzUfZlzwpfOmVFzH
c2FDALYFH+AghHPHZk/zhnuXxTMTFM0a+GO/NGbWJSTE+/7WjKwp2ZbWPGK4XdP+bTxcd8AMMc36
ef9Z1doZXIUyp15xpGcgF6rCtdFMYYqvyIjv/aRpSeuq3ouux6FrXtlQj7dmqYZ6m1UDERqQO/61
W1QRF8droktSZvh/Bq7/fYF58pKqy7jdBgIK8sYwKnXV5HP4LavrZdmycyW6YE+a3godBvBZzPN7
E9XUzO1DM494wKaeyvfs9u1veWT4JWa/Or6L7RJWXCQCKgFBeBH8rUueEhJdCy0381Ep3ZG1IcXJ
zqdMkOMOK1tRkH1MAqKXk9X2O3gs6nsAIn/YxTT+oRUMwOw3TiQJ09a+nd/YCdjeLQFg9wVqsXdd
l6q8SubSvwqFwpQIjVNemdzk7V50UQupta2teqtX+flgppbT79Opy5+9HGb/HiJMYRyMcK6CHd0X
/llR2F2dHMY5mu4DCx7QYTItan5iW/rNkawa45xwo60gmwtqQvwuYnX2c2j7ZCdxL14qJrGvGVxl
4rVK8rchhPbHrekqquQkbQUQO6yHJcswOgeUgSJ2GoBw2TWlNh5EB9JhAW1GHRy+xC0R3Wy8mmfb
Hg/pQEJsy1PY+Gqg1eM3zmuR7Qd3NT2ONbT3cqHwQbIvSL9RLDsY9C+Qyd2EMjP8o7qxRXzvNQ3v
1aXFY/T5FLoyxaJh0zgxRJHE4En5UvSl93jFXUvCUbLljsi2JsA+U3a7zr/yKH8oSEZk0JPj/z6P
cv6Mf+OorUAtvDtF//bv/nGKdsQnU+jkCLqTJW3Uvf84RbvyEzAV0LvWP/ImTPF+P0V7nyxQRIQa
XRcSFfTc/zxES/+TsKVDeQd9yQhttvxnDBwcvD8cooWLGczUdD5ikchvH2aF1sQOCYKrv118kYZH
g5EBLgAMrK5rjtzusSkowtjM0xI99qGK4IoVFmUawWSTxFgSxRrFFxlomV9WRPLZlMSfS9U11Q5s
FTVrYWglz2NtFu4udaDng/+CqL2BJDs5p4PZ5PFRkCzdic+ZFVsCIIVvjdVEpPCHNjBPXCvGXenL
8opcbbRXqo99eleK8EXFSUxDoSmfsi4KviC9YWfz3ZEAq2pziuydaXJO5pEKBCTf2TpQ7dBjd4If
ahITGYxHlQ/BMbZgRdnBCMN8gzLbPvJUm+6isa++mxi+r+Y6o8sG0Bo0CvYW4rqYY9pbpRtk5zVg
h3EbuF3f7tiyNbo0MADcQM2LgaDtWfWJBYb7e0hrDXZBS5Q3Xhhgd52bmULcLLR5uLJZcMbDiF59
LUdNYUiNKZp2Do5dKtYtbMI7DZL+npNAmHfDxJZ8l3mJvMPQSSdqBw6KJEU25c+05tn3wRiW1X4C
hpSeOmrCGTjTGrRnuzI7J0bDkWwsArynXj3MX8EHZA9hkQzUws5RdNt4crrHHz4VWNGT4SUIqGig
Z9TzLp2gIJIcVU5OtUOeg9AaO5c/BOAF7dAPO7pIjEVEX3N7aOIdlkviGDl4DTyFkSc2mWPl3qH1
B9OmZsVdWHrVEIzbOFMGn5U3xXdgSovv4Nb6iV7MbIHGmxkWP9WAHhdTcMEe06qHiwYGa7PPSVAQ
kSYF/0I8lnoIqqHq4tChzl9yEwCRSfqIY8CYzj29IJAbwdBP0PV4Ihk2RtoO2/9WhDGNTBOFLxmn
2HSh+lck0WXgVDVtwknKtrt1eZZCmDeL+ykIC29Li2k972fLC25L9mP3QWBkT9h+MAt48FchrvAZ
VRunTSz9JegjKi3scADe38RUNvVmFtCHmWL8II5RvxIL6gEWQppI8RA1LR6ibsQsm4e9eewWUzed
pZIiJMpt46E7jNAlrS3pECG5HAEu2qxI3PgohJz95hYNidHOrOxvfdn6t9mchXchNW+PlOvA7mmj
Vp5bQcd20I7fbFk7O3anl1ArMUjFFFtuyFLvzLb2Y3BBWXOvigIHxcThxWfIBEMJEt7c3tmzJj8F
S0HxH01I4WNaxcl9o9T4eYrklxSoAYU2fvlgsjG8jpOpwXUPhPqGrHb7HPGMZGHAwsWXRIr02rAo
qgHo1fc+zSg2/SilOZPd4PPn+UVU1HpRWcm3zvL5lEkx+Rm1VJKinL0r4vo1FymMociQwec4DUts
tu0oKM+hnjw/yr2Q2HjIJvPShMcJoKcuqRegPyhMj0g5CGr0SMFzL9VppFPfuiR5oX6HxzszD34u
5eCw7iJaifZ55oiTijbpr5U3hLh7zNY/itmi39jwlvZpziZy08yidbicMim282w2Jy3/j9ylRY3N
c2iM4E7E9uKBvevrt0VwCNG93zLYeqG5fPNkiMs3GcduL1woMUHs5CE8g07kV8a4eNwrduy8VBU3
35HfdMG8BzkoMkA48QqEIY5yDOI8BVXpL50VYrtN/fC7zZElHfZV7dodNlDRYdrKaQf0wFCcNeBy
HBJ8lMKb9NzXeLQjfxc1OaZw3zMpO8EFFT9UoNxm8NWEf3YmJV5gpMmJk66jcBKUmwiDk8IePWeL
i7QDwRgU4as5LvRftv6cw5LAyEWVxdLXNCDl8WSfuTmGou0sWO12uIP8r35M9G87UdrBXoxgxtNS
uBlIJl/QwBVTnj4ezTYTNfbyA4SK1I7Lr0vggShJbb/P9w29TARJctCfoNDVo092z9sMRkKigW19
ey8NnQLy6Ql565kqZ4QFvcIEgqC8/nNJmzpBZKAE2Q5nc1hD3auq5mBjEYo+01/JcY9aIKrnZSZd
TlsJNbtXYWN56a4IHdfaGh1JfxCWo5nsHcMZ7iaD8u2d2UkxnMzKovwkIqb8sFgJGfEmHvvuNJaW
ehkThoUc3Dgw7uzZXtQRdJqWZqKEzNOuaCCLbkxZcbigiEjl2wqcFfVPpsusIOXyQEzycsvbZeUc
MxDwpv6myDv9ri2zzrZqahv34Hm8hU0uSxJK0WzROpkKXmXPKaCQOxzNleBKTNZD6TVECnqgKBeU
SoYS6iVws82iwMxsoJmYI0ibbnkrIT7PJz3papsoHRdoz0GBrStngw6GHddvSijq3GXw8Y34bIHX
BQx3LLuTlMgUvNDFZcARZmYGUCAgtr2nqIoCEpVo8ofn9tFrSqRGHarK8pIduVmWZA5X/G80xfkN
98n00poSUkOl4vtudArcjpFTAdcT0Q1RuUrtJLOUt0SS+d20Zmg/TZbkuQ3CxuMoxRKLDa5XYbwh
38jQHYpSeh/SeKY2egFhAYKHO2+N0u81QaIbbkegdvgxk9C89oeBrqSsTnOQInSgsDotpnMq6fpU
R+lIw/c2d1p5nTp9fmNWlFJtnDlNjJ1fU0FXTpoQZKRyfGtrhnm4rDjb70EJYQgUgw4VtD3s3I1y
h/aBJy2ftc3zEJ8c5b2ghUFmnqetD52IyqiUiKUFNyEFr0PdEtHTZS8s2rmbKS1n+8DI5RzmsBL9
AeclT8JZDIoAmZl9dWfbOvOacUmOeyDBzzTfUkOtOoJIjHIZS0wCrpXf0gO0BU3SXSxjV81b5mGU
WzRlxR4LcJPGDsuSylcqrYqHEozam13m1pvNywVk/P152oWA5y/zlH2HNQ7B/UJPqs1gJOruEXP8
740f1N89I5GfJxPd45BTNalXhkhcEE3yz+ZS1neNEYNGIlKQq1MrSMvdsETAWxXbXOAtmVW9+U3V
fh/mmOhQOeHxPUpovYI7kfF9gJZKyEyW3BWUhIWxy9jR5Qp2AtDv8+h23ikpD6LMzI8w+TFD8R4i
1eQwhrtWMSUVHdBNDMyPvvKHi7FqK+gVtj0Mu0ICUpYB/FOeHQEZ48VwTWsPP8G6KyZW8o1TixJO
bSG9LxNpT+4Gt3Pqr/yhOCNgYXoMVMzmwq49BgOuCZdn70Jh/h6xMpFW6eopuGCmKuNn6kHm00aW
zrLzFoYc7E4HeIPAc618N45kNjY1+gUEoWE0vW1Jyvg147xO93cl8lMdV8ZpHdK1yCTAuqpjn/4y
lAr7jfNoByLStMcXs2QWs0mz1D0blENmr6Re+qseReCMDAgAMc2FQDT5U7InZyZiJA2zbzf5QLcz
vtQygZ8HbfbMCKe2X33Rd7Zqm1u7yFK8yHz76iPmPcnnDCvmY0vrwgMrcXVBq99kHYOeEofSmDo+
wCVvsi2RMypvaBijy7CCEePkKVGzcKny4bStGxe5pgrTSWQ7SmwCwzsRLTEun37mxS+3YL+m704j
ske6zgvaVdg5qS3BwxqgltEyFBA8mabNYGXEpO0p5usmsg5QFwNTuudBteRwSuBpnRNPJ1JMKgxO
Rxa1iIADNVD0Xngc1HMW1piblvX44MMccg9pb7UPFa7aN7qdueO8zCZLSZy2uaVtStf3VCGcLz9l
dYQMiPc25adNG9QMvv2E0FtW5ME482rByueBp3sm7z6+pQQ1Em55ZtS7iLJL/7K1C9/GxRwLhC6w
qNFDXMaWvY1ciC/HbWsxPmpGd7pnZ1Y8F+PU1gdFg9CNUdThpYAa7u1teGP3MSRNuF99FAA0qaw6
3SUGDJoDcQNqvBq3SOKtHKrc2/ZTU9xSKhXbWwrLgJ66kdWpfVPTdDUVwKA5EC3Eu3xfqfnIqu3x
fOyXMYGV1I/tRluW410eNtnjXItWbHU7SE576cTeJV6G7FGRUu82STNGINVB21I8WsTMt8YaNNF2
dEx5RQYBM3e3hIG/a+LYeXICSbLHatwsO28T5V4DZmEzmTIlviydwr3gOSsu58yd7xayXC1jrZ5G
y7zuqI1Kh5Lpc8+lp1eWw5DyVMWYlWfna+HS5MSjTrR3QRfFbzGxrbuSEhHauhEY2FgO9vDKo9m3
IEsv3rWqC0LkU9wzeKs5OwImMvtvY80+foPyZ9foweksziPImTfJgoS9ZS5aFScFJ8MjI7IWrO6l
8OuTmFzvAdRBQyOQbU5yX9ZiZEzsOj3d2tGy+GeA8zxx8J3aiVmzDa+nYCcRlyDLVXlUjsuwd4dg
sUl8JhObDXvkOwUQtCw3cGONe5TYCAo3nZkWceGiBy4rrSfq8Oipo7XDEJt+GKLHhJ5dwoJKNGo3
RM3UnoKE628hTnksRjBgnwJaW4xt7XoOisvsTw1fGzNsz6Yk5RxtkGQALtY0dLRmHA677TjRbbXL
KM6DGUUgOBh2hJP0/gZAC7JaDwqVTRUECPjBC4gW2/GAeilowAGbdb5cIaRYi1xU2BqnwcIjHNQU
kLRN4k5msZXewMfb5UN6ZpdFjCBYLubnIskp8MxNxzozeo+C9orm0ufcxwm+W0w1wAROkqU8ybho
/ygh+pcf5Qc/SkAmyPF+OkW7esaO8v/+/ccJ2n/8q9+dKEy8eNZzTzmC3hxPj6h+d6LYn1zGVq4P
Cg0fCv75/5yhmeYnR8/JfFghFg4Ri/na704U0/3kSaKAgR9YgFGApv8zQzTH0k6lH6xw5KolPVIU
UbimDwX5I9LFrLpYsnvod8Ya1XfGZpj3qU7wG2YLiC83XOOEUwvJ2IZDf4UArqP/7N6yZxtljsj5
ODGkz1dQwLRCAzwzacP9sMIE/ELR61BqxoALtkIA7a0aCAuz6hDLNJGAqXoXsq+AU9CuyAK4dIy3
xxVlMFuFuHQ03yAakdG304o9UAIhF4RlLXigrmiEJPDUNRhdksJhp9gpsIMUdBlPBlCFtoWvQOcq
Z2GRyE3MEOdhER3nbMoVwuPUbeEfak5DK8PiGf4l8AaqqDj7jSAZwekz+V62Gd/Ha3vsFnZglYDX
nPgaBzE4Hm+t1ZCIrG1rQBIjXg82ZhokQXocqERlDYqBmGZNzHFts3KsCIo4nlR8RIoKNEWsKRX+
CqwwC8LWJN0n9oW9M7RP4Yq3EJp0Ea3QC38FYPC7qgfi8GAxek3IoNM0uw2tkR6cFaCRIxCfcyas
PtcrYKNZYRttpLyXShM4SLWE83GguRwOtMx537pZIPezJncIYA3n4Ag8yLdyCXd9YeaXivQPsIq6
HJ88u16+2isOpBd9egX6tnpig9XcJMMsOE+DHbW3Mog5aKHAZBAIA00aMVw/fuUVGUUYVuJ8yct0
ZLAQLoO/G/tczoeGWFC6b4SVvIDGb94qBjCy3DAg7Mw9LqjCo3kqjSlkDhor3ppJNkN8MKr+jmmx
g/rfBg74mNFMv0qySeokSQN6dQl0PyIypGfNNIcQbmNQmRQdq+aQcxK5cXE0PQOgmx7jiqQbcrEY
LpJ6Li5SW6t0sd+EJk87UjSbjrZha9ODS2NcWnJwQu/wvZcY8jRHW1pO8SXNTW5w8/n+ZyEKKk1B
+S+XYeb0Fw2wiYeCvN2TJFUTbVwE2s+itLIz3w6I6ye5w4xLUaSJFQDIS8Mj2NuaUwDxwSWJjsRS
ENObk865xeq26pHwMNNlhLot7ApgGz3gNwmAnmPfVdO1bOvgKIbg98wwKe+3rFal4lHfxuz01/7A
qM2GG4PGVFriSaY9IRa37r5aoNji99AdhL230EeYlekcHuxKtuejFY3f/LW7cNA1ht3aaJjLiT7Y
JXKYw7c2IIJ9vjYg1msbYu8UIt5NyEomVeWJcyN0deLiA9TcinpE9fRCFCxOERlNi/5vrYu6gBHr
jCoPNuLaea2VomOxtjU6YsDhEfZLNhzFa6MjdAXr86RrHtMspvFR6fLHPl7KYhPoSkjac7gdEaTQ
GoUujeRERvywHXu6JNt6hHGCYQ8ORVvpW6lduyejeEwpOls7KcuyidxtELrxo1EF6gmQQf551EWW
fdc6LoduSb+lvXZdgvktnX2Uem53XSTKuy2g8eGL49jPVFT3ZXprd6bseiL1vq7UhIdCu6bSRZtp
Ug0JGCg+xj3ouu4wMMhk2x/rhk5Xl3UmKc3QnAh1hydHdvdr4eTiCs0to+MTM9Q5zHPidy2j6Xuc
kBTB5L2vvreRbgkt1sbQ2nKHXZXqHlHqdsBgDbURf/PXplHb1LgQZODsjc4BukhN8nQg9deOUkvX
lYopYt0PREuL6cKad0Oun25TJ6mq10kXnkJj1t2nqu1uwqKgEbVf21FZ6iD0C9OaqPxbKFDlveou
VUVCf8MZhrBftvatLmZv3U9rC2vK0affTn0Mb4ZBf/pQr52tdl+Wp6ONWAhevxrfSNbZX6q16TWD
QtNuRT82tz7jJjwVs6OxxxzJaCqdBO4JEUQz+X42zu1OlbpTNiJGjmmIE5K7VWvvbNSH/H2o1MAS
YahS+gyH4xGaLedABY2XM5tkNzesjbZibbctnEGzu3pKb9Xaf8vghfOQykAL7CtdkctyrNty1+Zc
Rlnc27pON1ibdSOK8R5pGnIsVADKVnD9hElzBHuGTl7U9/Q1yRv3yVo7exsObgHT9cA2DtXa68u0
RH4JHEPYZ8va/Mv9QbmDXBuBiV7zxhiDM6gRU0vFsPJbWLUqyQJKh3ngfqFAHn5oVmIMOcmEMy7H
WSfZqGJqaXewJdxsh76g9699yeCBiCyIWcKNUG2XcmyO2eNPzYnuYLdvglxl2VHM9NbQnSOrcxC1
5zaCe30TsjhRQ87cbrykeSWT29iriqdwkHMKG7GiRxQEQZQeBKxn9GBUmmPTtdHixRxQmeIQwNUs
EhV6p6qUBinIhQn20cxG+KbHjiph2uPuZFK0YJotAXQg+pk0POzT0TNc4tTVQCGrgmi/M7uWfvEI
krPat8HYlifUwJjwHl1JcFQaXuHwcaVDB8poYlA4xY7qN47V8ffpECm+1clSG1v6uap4b0Gk9zew
vOdbDx2xP/VR7/qjhFPZXQuAAg5lVjIFnppU3E3lKN8wTfhQgiUD4qqMGJMyJh/BK40JBKOZ6fnL
2FJ+EzZj+EodexBtxnkaGYFMQJpwPs4NKPLGeqRohmp22ivsR8hwTD/aTgZHeHrpH8hgbRfHyHNk
l/GyDLs5NVW0o7A9pVh9aTij5FnDrW6aeQ5tiKENA68czxgF5d6VGg0MrVVthXSQCKukhpdpIQdb
qu6Rw2bxRYhwfqFCJqdaMPdKjnW2HlOF7VRdlQy4sUqMGXV90lRxdqDvHDgMAFWONsr0ruKQqcS2
8UN2VDglQbvXnqjuJsYo7sYngE5h1gpJqgkM03HBLGDamV5PcXwZNd3eXfFKEKG8y1wzl2xNX7JX
EFOjmUzhimdSJhMThqIO2Ca2g123j1eck72MFFWhp/hf0hX4RPsAt46tOVADieYYvq/GQ80rKirq
RSP33oqQ8hLPnHaWJkv5ocFghFw7wCnI8Hx0XAdAVN0KpWpXQJURaFhVtoKras2wSjXNihEeYKt6
hVw5JYf/HaNtRBzOhRWbAbRopsqjyXKfr7AsTDCAs2QWF0R6NU5rWNFaWFPBbP1gDLj67SDwUwyj
CFw4OZ5JLytoSe3R/zGzGA5YUzE1JjsxKmeHY0hhShnSw89fRX6I/eiyXV5GR2iBm5js3t+/TNkl
rLCWlezSuj7uAlyVQ7RQES5SPa9R4qKx++IQN169D6dwOjTQUq7pFbevfv6LfLQUfPw9PoS8bKYS
MA2BC9JbjLjqeO2RZ+mvJY1QlJ3ymMFrtnFg7m0citD2P3/1P6QCuAquJyGQSU+bKHQE7YeYjruA
vHUgG+36IEiIBlBdYE6q+pOLrT+y9ye+96+iP4sfXqWtkipJaS3a+VHUn9IhNNPY1w+HKqG16edv
6GNo7rcSZR8QowXIU/dJv38tCFRhnMx2sgNNiFmqp83AZMWkS/Y0qazmqY+dRZ4gCIqnEN7Ybuxg
Wnl5VcijbJT2eY3V2NuYIXUwKP0ZCQXTeOux8T7BgmHva7AXc+CIecEVligqBn7++//hA2FLTRmn
ZDPie/q4/f7XT4chRIgP0p2J/rFx/IQGoySRJ7/wKhBVXRiuUHc40b/7QFRljTHKPm5M2+Tr5VsF
yGP1T2b0bSinOFM45rN7cTzcN+9fJZo57VmNn+6Mgdk9KoR9SKi4P55CMf0J8FT/wu/uMF7K4Xth
+cIj3uLomcO7O0wKIRJ6nRocfd+WrC/uHFq6Dtglp53yK+M00oLCz6/iH25r/aL+mlIP9H9+eH/t
wgWOGq5imgB3Qiuj3MosESWM/8/emSzHjWTb9l/eHGkAHO0ze4MbgWjY96TICYyiKEffOeBovv4t
SFW3JCqvZHXHNVYmERFwwP2cs/faQEX//Ut5qyYq9GyguuEHc6RbJJp+A8tiXER/1SR1CWgisJ6d
XOg/PKy/rkDfEjxGnDlXuILzYW0Qn5LODaIBooeWGo5e8bUTXvWH986v94v1YDmsdA7g6xr5+X4p
YeVoKdJ1Afrzw0DNFi2Gk5wHRqUIZmiKC5KyUHf8/lf8u6/241U/fLXYm2vTAR0SCQtSv0aHeqiV
to+/v8r6iP68FlGHIUumj4YXjI3s5+/mTnOat/QaQIQM6XWZDxQ1PmSQ0mnsM2adK5JtjMXRIcHn
9feX/rsvCHE5MF2oRSbdvJ8vTSJxYxjTxKbmeVPkoZ45z3tK4P/FVYAlOWtALU/5xy+YDZyzYjeN
fFtr1JN1vrfWYvL3V/l1h7bYmHgT4qNBNeGGH3bo2ke3Q9WawZnkJBu1Y40ExgNh328GwLJExtSp
OCdJ0QBPDLqfF3QLlmf1Q9jMHJqm/cMnWhflxxvL1xb0LtksRfDhA2nE9m27OHygpXUOkrPrTeUS
E42myzMZTyCQ+/1P8DdPiW2aGAtX1aODyezn25kQoWNof8yiwGfc1jNg1pFPVscRVBX1edYE59pn
/P2Hh/PX9xpTKdrHTFB5PoFs/XzZ3nCFabU6iyRdpr1bZctJnA7gnujX2t4fFtNHigPrh/8LGaG9
bhE46T4cDsLKnP1QtllUI0G6pIoA41Mo4651TT8iQSKWtNwsTTlb29OFZS7hJSu/NiJBDXvouyHe
06uKD99++v9MHH6aOHjrK+qHNflLZPX2/bX7OHD4x//0j4GD8P+iM2CTUv7dprpqZv8xcIC65tjc
0++DCO8n7Jr91xp4T/d/fchD32Tp/3PeAJDNZT7BgEDAt3F5jf478wYkNB8eW+huAfNrygkYcCZm
qZ+XMwY4jaAZJKDXa2PE/0GVvxmWVn2Zde2mq6gHbZhFLb6VqT19BlU1fUYqlL9qv8u7TWchBdtA
A3Q/ERI6vM4Z+pdogSK6bAPtz1+kqYeRCbini4jN07vJjGVGMmT5MczRsHa+9ryub2YahAV+1Bif
B4lI0o6IaoGHLWrmeOh7tGJeS/xzTjEKDHaxBSzcXltY1eaRAT5plauPJC2eY9rsHZy5/Gg6A0Xi
AGiWTEG0KGh2llk/aM833J2FEOsasBynXJPK7xRbj1NzWCkwDaWzQP5EjVmfdpZCp1aTdP0yjRkQ
RuGVBZwpTzU7m0hVau4QvS7xH2Z/xigGy+Li9jgvmKsOzK8nhTWKbkF/aya+8Wq3rSlpkwC0i/jp
GuzBSl03U0OT29duWxzot8k8ossrL8QSiHnTqJA8Y6/Vw5kl4sLdm3nZ3yMi7JPDGI8EO5VV5Zxg
hZmHnUIESXFKOIx3iswV02FqpdlX/LqcuhrXNVWEMRKiZsGE9CBVnN33Mb62RBtzu2nSgEF+DCsE
HZ3VthH1wvhM7BS9IjbWOD+mpAl/spFCBxvAvm28lxzIYMtZcfLW6iYftpaBiPGmoluAEVEMfqIP
jnIQjLl0t8UrDYTi0xDbYbe1cC3KyEpXp1lGJluBRkD0QmyBLuXPw7AAx5WUfBuEvikyQ2sV1eT+
svhndEpj9zx2xwHXrO+NJaOldOnyY6usmEG2Wc/qpExD+nX04IlHrJyxyfbYzXvcnI1V14faGEz3
EPjE++bI8+qd61jmzpvQ+u6Qs/oOLsGwh7Jdlbi57KBcqWHYnfJItB7Cm6LNivk6CxofpnBq9dO2
xQET0J6x7WdBMGfFDhECbVdjZQjSwDX5fEYls4DWozHyBDQtEU4aMbTcBn6sx52CdX+E7DY5p/hy
ewI547IY73m46keamMxxGsMsauJPYTQzjkf+Tcdl2Lb+aN4YyvDiKLQZQ9Nmn4tNot1hPlja6qzH
KsUTvScRak42DWqwnFi+YbxpbUe8lL42AUPT20N9FgdT8albwiA/5IEeGGyEXQgrMTNxQPr2ErxA
PWXqUWWyyQ61KdFRJEaRXPiE/TSfYhIlL6QsSCoosOvezCDcjE0SGnzK0hjKM9p1g9qOo03Wl6gU
jTli2rK7HInePZqb8CxFfPwsbYGbK9ZamVvhsIaOVpirR1nWVrsRqrWerbQ27H0VtvM5L64E6ULO
47QDZlu8sf4KiMmFFi+ZIeZPnc31SLHzqwejdmn0u8aYnZDcOU8H7FaL2pZMAh5qm57crtZhccHZ
yXN3qelB2J3HGLeP0MOjLjl/YyJvm2Un7Rp7umN59REcL4F2dJaFeRNiDmJKuLjdsDO6pOY/b33C
ep2Au4GSUsVPEmaws6tbiU7c9KA9b9DItF/JjuoET7nrIf+E0YugHOljtrcMC4pdauj2aZyCNiQb
PqCTyDoVZK11M9kUuEDRFI6zqzbTSgGPHMM2rkCI1d42oZq9DyoPfaRpWuMJ8yyHRprZiNcWR6+O
3LLW+ozgdVQ1eemYj4r+2qoXk4RvlOPQXCE6QeQ+dpZTH+NK5jfw+Ey95WljAJSrcXzWc47CN3af
O0tIckiwdRFugc1SHaD0jVGO6pOVhJJu3OedIasNhDr6aTGSzWI7iJGWXZbCCTwaSY+YRzj9NB5x
54srZ3BQKU08CDcpxyAiv6nJr8puJgGI3vXEplBLRU8uMO6YNLGqKlfkp74ZnmccgfyLnDbGkQZ7
huJpttcsvnka7uKQje+c/M3wa1XkvKfpdaX32Yw2PDISI1P4psmnOpUsK7mXU+sVO1djvkDoRaV5
YD+okLAWI5OF0E+H2zypjXyvnQIVcEWzk/b74jOjmMgCV9tkLpw4Ms0eTRZbNDMNg5ChW9Iq0KJ8
T4qMU0VpXqG1oqnYQJ5YcnPeTXbr2kBG2+St6Y0Z7bhtIg1bhgFZZuBgH94MDTNdkpJ5b6DFX5g+
/+es16Vv/Y86EctZSXv/s0Hrv8rXpcae/ev/809zlvcXVQVdAcxZ9Fjg4v73Oc8HVUKjgIKeXhL1
0fpP/zBn2X/ZkEtspCMm1mrBtORf57zwL2i4lDWOgETJ2T/4d455rv2hOhMBFlZf0NRarV7MPT4U
986Y8qoM3DbqvVI/JgNb0ILoi/PLM+NNuzwOuFVCK5potE7NlniBJl6VjNhDX8wqJ6DWa1v8hMBM
+n2eZLKN8g4a/FcSy/r01Wqle9qGjRYXSbXGo5kF9pkrLxmVdUa8UjuthoNOnkydRWncLJpcxmJq
aPvz9oto7Hm3eE1QtDnNmNN3UD1xEnjo6VG6wexvcV52yUsVmIZxGyRuuHEmadg7WQ8NXgBV+/7Z
EM7mC8KDmj+SJNBJrLI/ynDANourovnCiYTXz4zq4z6F8DASnGrz0OOOMkmLzwaC4KFsU42dG86a
n+ota7KrziF7HiC+TvcLoWs8XnlgN/PBaHrLuayygcw0fCzJZ02HSqP6bPsT3bk9ejtvVXHWMTa2
TYaigrn9Ei7dJ7kIYi/USNArdu3kCcklkaxJRVfkFF3yIKNeZvNRVETsYB+xHHdhXMTBmFvh1ypI
ynvGUUM/3PbCLC/ViMvCUROqTguFbtY7wGA7wMMuMXbEoIgpe05bTLQy9+3PYpqcdz0W3q3h9t1E
DvW4nLJosai6qkGgrpk8iaZpLnFCZecIbourhCPEuV1W3YGTYLPLbB+Bfi27KMVSt8VnGiCWZ8IP
XFkwT9LB8FDWApiOD20mEoRz7oXAEBTn/nCMBWY/m9TSO8RFKWdAgagSUfYRo7y7X4KspNsOoB/7
sKVOfb//OtQAV5Gvdu2e4rvfJ4gDH/ICy4S7OhMS6aRnHckNz7PiFA0aIsjWJQDxBRGUmxRb3BDI
LwuGf+ethAfvqKy77nDPITCcxGnutfZ+MJO2j/AWV7dW6VdfICCPnxOy5zia2PaT8c05YcVufzra
+XQLHEJ91kDzn0dXAvyBIIBvbE1FPJIiAhIB46XeNjFqQ4Z0VvUJTYEoHskMscLiWHipX56osnH7
z9YoB+QrXaErlClbW3hE7BLy60KNeLM9o8kWKrFWo7WtU4I49oSpDpQQaT559iP8ZB8acGWUhEpS
eSWUZl2wswaJVspBpRU3UI+LvPRww/XJMUmkf+ZLf0Jk1ZR3amntzYTV4C3kqR9YbYUr9G0Z0Ec9
dw3llId5IsDnBMNj3F4khsO0NFQzMl30Q3gpbnDuGN5N1ysmUxvXnhdEVlbsL5Q84IfP6qxVyY4K
sMIF3jI1fVKT0RLnznnyGVtI2l2FmL3dZx/g47ztskTa5y5DnSkacoNgo02nRludDDBakjc/6Wx7
tfj0OIY2NnHCW95NnrjCQCB8vTXh4WvC11PtVs1zPSItOkF5kVQXYxIjb7PR6kxboCETQuIE8c3O
8XGuG6gsGLGn9KkpNcxC3WWtS2DX4i9D++RDYDD3s4Cu3/V5k0Zeac31ngE+uUFVvRq9sNOR12JC
KC62pEmR95VWPKlbREYcGGRqJds+16idUN8uLr1jAD7ttd2r7Crz6rQkrXv0Y/Gqq8DAPTcBXhov
RTjFKeFIgvKqHeB3o7chD8mqOSs5XjOueeCdO51D9Ucv4YREt29H25vM61E0aBrQH5TETOYwpbug
woEhlToEKs+cS9eHrYUVb+ovs9FUPPB54CKQsgacnUz7tWGelyUyEqkSExg0Vl16enlUEjnaXKjQ
fNE9oG3ZDvrK7jwz3bsTp9JoBBezr2SDiXUzjqaIxmIq0d/g5cmJVQyq7pxE4RQpvAX8ebqWaiIE
16zqkBJ/gDT/aBJc2W+VCZScv1AE1rlMdK2PytK+eIQbvb5RgxrGhawTT55jdUNEwjEaZETQrvIR
oenxvoTkJ02IveFJpIXMU5QtY5zpV4UfNdt3vRlU17NIm+xaup2zFwgNxBW5JZXcexjI6GhYfGhe
3MgO50sg7d3zwvtVnraFEt6TDJymPTNpb4gjyerJTnp4eV8FfYruYtaDmZ7TiavW3C8UHuTzqcC1
x0gmygjuYZ2x9rYGyVKIqg2UcZy/HcPzcQtUXTGcOkUjxuvM8sVwkhC7Xd0KfBvl5TiTNPViATeo
tzodU2ohRjl6RrBTaveKgTbNe09bJXYCh31oq8jo3Dhc730edfG86MKPisV4zWNCnkO5qKNPnmyU
qMq/9mB+pG+5L4fkKVlc2Z+EYw1vv4BLgwnATFLZy1uMjZAsplr03bxJ07S9M2Lywj+pkfS4Q6+z
NK/QcLjkcLZBS+hm4QIkOV3SLnzLBdlT5LmMcTJFTYifajcSI1Vvw35O06PVzUm2zcyhqiPwXMvn
cp7xwU5FWD+MLlvCBYqdOYAJg/Z8PLEDzsbP+LKJcaH9hAXqxpyn+SKGIEEdUjcUPMkQdu8ce+6C
BPJc5LV+fevXHhQgm9Q/S95bTtCNJ8PMNte9uzqhp6QX7rqRkSXGicjMdlQuw0nJ08R6dLytmY9k
pLaf4T8RBeXlc7rceWlrpruGDOl0tdlyXnmgGFjT5ALCWwmkcjpLRy0BbmgT7Up0OwqEfpGbvsya
cpO16EFJdAob/46Xuoo/dcG0yp461HX7BCLyWg3UI7JgzPOm0e/CEmbsIxHlFdtvQMwwf9aTixUS
2eMKMGoDzvDpEWsH/e9dPRj+ajChM6ROVOvUeNR9Mv0uMY3HbhgtZdLvm3HMh13aTkF3GKCZfcoS
UC0QKvzSuqyCStzSPhwyQo2H2O9wX5s2lWHlGMObkGGeHVMCYPMtZZVKzgrfm+UZNZpf3unW7+cI
9YfsHwy8y/5jInnRHgmPVogf4z44ayCeyROJsMY9wTNaH1Hbz/WJ7+hY7clS7Dt7Q5cxrfduSSrc
Pgm5iZENNu8ypBX2JZvAujt2Wz1hRpnuSexxLjKwbkd3MLLTVbbdbi2z+pyGbn+YQOOJ49Rknv7S
zn1eYbM0veFCt8LipFgFLI06kXO3w6bejl97X7T1YZnQfhBQprt+TyZjgpM4rsiFJGy28w4NPrh5
nxrwQlAshq3lb5rW0ib48zbGcrqRuAhgnKCjIFySCGyj3c2u202nQ0GXwsbPrwNWmDFq7Uahv6gz
ttv01ssFDiGkdFJrDnWEjsor31sJI0QBOqNnk3/G9ickJkD8vnHnP6NWDZWzCwerz15sYFV5+X2Y
/J/e/w+9/+/ztP+5Hty8JinDx3d0MP188uX//Z/v/8O/mv4U8YymKLWwEzgBI6J/Nv29v1xCWFyc
B9R9oC3/VQwawV8uFaK76v/pLuNG+aEaBNUhhIkChSE+txl76b9VDv7c83dNF24v+gPI9Sh8XPvD
UIlFh4HQgwIniiHZLlMTPEz9OG7JCUvufqiTr7/P/36jV/p+qRC3pG/ZDqTOdZr2g/RAxD47grBH
RpOd2iiROtFQGNbpv38V28eiwZexncBfZUQ/XAVgXdvxMiT6M7H9qBN1c07yu776/VXWSv3HEee3
L2MHzFwo57GKfJul/HAZm0lHB1UHeBsugmNGVPV5n/rDpYvj/ZBMvJkzObmbngIRJlpPmw4n3xou
IyB0zEDTfv95Pkwiv30cjCqAS7/Pb9aP+8PHSYPK7jn5cnaakS+Sb8/8xPSrfVo02cXvL2X93bU4
o1DasbBZwB/HRA4UgLV/hrS5ux/yBmd7LQ4LEwEvdY9u3b0M6fgyWPEJbK+7yh0+UbtHs9Hs2j4/
aR1Ybn/4ROsVf5g3r98e8HYgeM4Yo33P+P3h25OA6OVOIMGGWF0o3stKTflplrSD2gVZolQ0tgiQ
9nm6lPYtSTDpWycHo95V2rHs3e8/zDrz/fhZ0FSZAjKP4Pn9cCdaYkgSTs2akDjcOTm37NxxnOEP
z9Lf3INVufXfV+H98OP9pltKyZPF8GwCbDUTMb9AGZcGk2JW/GHu/PdfiJk6kzywuB9vd4cLNaac
wcmyyGRvh5Oxb2x2qP/FzxagSIJoRPgTPa6fvlAI/ABTtmRR1Vn2ApVWXRra8G5/f5UPipNvC2V9
2wbC8VFlfJRzGcKXjWaOgordyg66bBIfEbIld9KR/bnZpPm5PTTNKXwc/fDvXzpAa0KJbCGGdj58
QeY+lQUjR28Ec5KLyXLH10laxolbpO51aYREj/qed+2Zvv+Hd8OvN5DmIQ3JECQDzrmPugHmSx5W
BULls8BpL7K8qo9JqNQfJBi//rSIadZbZwZoRL/NqX9ckYnZas9sSjI07eYWtcSrdgIgMd6pzhRe
CNkffaf7g5htfZf//Kwxq6RvysJEHeV/VPGAwBwRGAMQCuMJ81hgDb26CJulr46NJVKMAtRPCdJY
5PobTb0r0Fp7Yfb4+1v7oaHKqgpAU/MSQr1H6zb8cGupGsmBBZABJ4pPIaDzwUNJgAnJEXxe37Xf
JRdv0/+V7/X1rxvp2qD9+LXpBpNDj3MfOcj6cvjhdTfj+gIUW6zjRIy/NmXsUyFlvJ9dIqAS4IfH
IRR/ktj8+sYJSAj+HjbDKvq2K/xw0QQ5j1ridkYAD/gR8qoBfUOF+wYS0h/eOH/3e9JnRKEIh5vT
yYcNRmDjRjWlIAQRuTlEsFuq2yU2c3MXh2lV7q0Mrfcflu8vDwnnM4dERVhqXNcKPpyDgFMTAuYi
HqJ9wUimA7vT5KC8f79SPt45Nkzu2CrjQXgWeB+FURAmrdIEXIVFLTZvp1CrLUark7VjtbGyerrV
9fyH81AoPt659aKsFuSQHBZ58X34OS09l3A4gJTbaEqL05TpswWfQPPCeC8Hux4ve86206aGRYwr
ve2pVE56YibD+yyey/JCZSqzbsPZyc1IBjr8NudM+jtiwigmp7nURjRTFFXPgZub5G+FzOgMDA2g
P87QIsXYLCl3xpeqd2iqbfrByZfr2ccC0m/rLl3ad0OFUGw2ra2a8CKsezDVXScS6zSXvaCF5Gnc
uFfgGXCbqa6yXdBiU9baZ9oJq/YCt8HoXSR1XTa7oXSIVKdRzpcENZs3x3oQ3le3CJJq21s9QX+U
ywZp2YCIQqbXeuQUx2C4v5aZ0c7PTULg12kepg7lNZSk+dypOiwLgui8lMJtxrVtD7To6RuioN65
EhYP1jA5vrphbIxbk3Bef5MLe3kuU9jda7CyM+8CHxn0ri2WydwR4+p7EXDHuOoAy+PYHGxeZht/
0CsCK/WhAcwNxpHjwmj10e2KZTzYo1qdWk6Yfg4NDzbRDOnhiuw1fqBubP3zfkmnBm+cCiWMEAOw
SbgsycuSur65C9IAXwr51m5+a48y7z9zCKKpF2XDlIy3Vp3nYbtr52LA+li1zjw/V07pJQn9zTxu
vuLySk6A+EzD5TiiJyCfbm6fdddAECKlsXwZWyf+grmvdjYJY1/QVMG4Mu26ETDBQit+a7QL9lkJ
VBkLlG8nIIYKx72c3EC1WHaS4MYwa4byRKQ5zQU8qJLfO5yNfZUJiW8Hwg9xp41F/5XmhA/dtjK8
r41iygon2fLbbY+y4BX/VHjnWDO4B9zFNMISt3STrRod3o81JU+NrKhYbnA7lNnBrxKjYgfJ4jda
fw5mljb2h6hsuvgla3uxnBa4xB74IcUYDV2aW1GMGe9xpJy5K3on5X6VjnhqWIQojOYUvkXa+PKx
jeHab+H95o8yTYdkvyxV5W57W6bjeT6DfTVLXtkb9AD+wZ370QQKZhUPXuLqYtv7RnIZu13obNB8
gr/IM5+7qCoPAU6eG0m967HCFAcxyvkOyKqF/K+R/X3gGyhN0qCe4k1adstTC/TovdZKY7F2scft
JlpdelMyoHwc8eyYqC/M8gQKMD5pxub8jFm4hBdN2wmiBxsW9aawJvTaNDP900U3ANscGvlwZLGR
DeyvgLTBL5iyO4TWxGpcJqaDx9oKeJ80Te1CNkYXM2+cIg+/BEh+k2hIAN7tKuQHTAm8fLQRnMw0
a5ArhSj5BXQu5BU1JrvSHVY1J4tNGG34KTCIOtwZZZdC2EYf3e3Qk/tgWCpzBU/RentQ6QJwWCqX
qFuX98OKfHLnJAo9KcEvkfBQU5mlo7PJqmAc96k3ToysEnqLmxRJWrF1lCjrC8sYpseEgO2r0spp
tFDWMbtoaMbit1rKXmyAuSRIcYIKDRNEwPGLbK1hO7gxwPCRj5WcNlmjHksWj3Uw1Mw6R6K5jLvB
zsrjXI9DtfPBv30t8wIcPdHGdLU5piEhKkMLYyhxw1UbMWtjiUNqjK2thSCuItl4ScqbuU7dfmPR
EkfwHjNuOrQ+vXAyDjzd72YkUeUm8Ukg3HiiGzHHicF9rd0pTU5MMhYmEFPO9Njq2uTm2truo8TS
+qIIRwM5FxnDq6t0KR/7vDSe7J7hL0THGKXWBExEs7YZAG3nrEQlonSyePhmm+bajrUjI3cw8y8V
c5sXoy+r8zk2YrVtDTxcG14qoEFrsLb3I/y+91Gr4GJUJVKJmd8kKmFXOuxHUjybKjWZqXFKhlRQ
Vt5lMMDR3oKkglCDtg0VhUK1+IlfA6Oqn3qshGI0gwbzbNPnUWWKGIZZLpl6lmFshkgy2CtQDQI/
BOA4ayYudmVg6Zu/QUSM2JXHMA4G/rqRqEOFHEZehllfXqJcywYUaSFDusbo3NvE6/G/O27F/DYe
ZNMd2sWYk6MZm31z3tpMeD23FcV+IKMc2l5RYuBUUyu/DOFkq00rK5tBkIIaB2AZ2tHB8jvGMVUw
scEpy2RCiUhsvLdKVuveDQG9MMTQ9DmFC22qnuj154b1jdllu0U0mIWBeQjyEJ7BUfNna7NPnkar
Bidmy8EvMW+7iCa9kSJlm/ciu7PsLH/HtxvY2xozebkZegQ+kdmlM4TlBmTYiPfJiejDDsWx8xYY
y3XvPrDkgdo5RtfmUMrLPt7x2HVPJEekfTTR5CWG3AoaOppewD9Kc0xekmx23yffMhr8smt06OB0
iRWVS+7OZ7omWXPXNx1RDn1sO8UpY3xEj+ySIB87D89zVkg7OJLi2VlgLlW/3M9qBR/qoRRbggea
YRsbS/hF9qZ4o2VgKL7vhLgUEgg8is4LxSVnhxRmpa3MzxOe0xuWve/u0A8q3NsTs6qNUfVzfexM
AyNpqOH9b+xySG47cI5Ae4BpMnCkl3Dfhab/Thto+YphlSdoYUZmHTp7hnMFXNWTER9I3ThsfcYW
hxG4N1njAjr2hWe/N/EcOnsbsL+1BaZZMiByEvklwIwHGaoYYry3ZVzstaj8bGXSKGv1V3sPfQk8
cDO0gslrySdmImMq50F2HJG3NY3gIzhXYgvY+oLLMZ2ldSK5JxmqS9s8ePFQHZxE98ae0mJ6E2lL
PkWOiJ9nvQ5gfQnZ+97GcnH1HxwjAdihGUXjPIb+x37AyIbNqCA8RiH3xDbtztUpGL9VstmOI1qk
wZHtaeqUYmLH4LCGq2P0nU2DUBA9qjnaD14nRLNpXKv8bAO4R5OJeV9GBG+Uj3AbVLVpdJXKXWuS
bc7rgAzaXZLHZXOFWc0HVg/Pe4yEqfL2lb9VTruwc7w1v3XSKCBMaZX7rrNC/iSDvM+QRtB9+kq4
xilW39HiQTFawpJLraz+aelmfqK4qtRh9JLhtR39+X4eGpFwrIIxseX4F8oLhlvVeGB278uzFhyh
Q+O+kt6pSUPpS98wrtziUTehpCMDXYSEZKeN2AGr4lrK3izcapeEIKSJaiplAF/Lb86GuvK+hjVF
1dFCHbqOlLOVkZcT07wHEbp8wtgLOcFzm+saSJNkP50Qt5oZCdARUt0QGuyYNzuzxOQbkTadNDvF
x35BcRjaZ33Sp2e5mXdn6VTy+iZ22m8O7MkWZ0YmLlcU7ePWDpV9RMYW5tEkKvshJSeI6Vrnp58y
VDg3NVwuVHumNt8WpVDWSUMHr4s1J5wpgCI8BjM6p0j1kx4jj3kQm1KS2DdiiKE6K27/madlcq8q
TsyQC5burDWThMDiZlE7Zng5INjULadVv9DZ25hd7ARTobxLUWi/x73R3yaMLG+WJbbuwP2WW5rU
8PY9vNTcn6onVLqUiGbw979nmBRxgYwZsLgC3S9ou6ZwNnbnJsCYnCq5bxPSeJI4q17gE1j9HmrE
CnqRBEnzGpHeBd8hfRnmyXnyJwO5ZmuOi33wbBSqhxlTxd3cjmmwWmLb67jGPY1mXq5rPwd3p5Ym
MHbs2cOZoxr3BY93+E7XqX61vTZwryw+P29LMKRF1CXQ4FPUv+PpBJX3RvOiq2ChNsmLG0+qgW9g
p7dg5nCWYzxmy3eN+d4JTMk/ZbMNwKyp8TP3Y49AGe6XLy8RBiKRZ3A50w5oTczbvW74VxoKORlV
I0VJZJTGeB863cQomRibTYmzdmYYGVKPcBoDMJaS0rShc2sS/JwPaCmG2IIZkXkM8XYij701lx2O
NIr8DnR/Eq4Ylqk22s9pMSpGnfyXr9m8iDMVduk7uq45JMklyVr6FktoRm6VBP4Wt1KeIf63u7ua
LZBMaVeoL2U9F0+DoagtPDfw+RM9TiLKH4MxOc3u294NyLMqByQ42ypHM7E1shDo8oBW9TZNNZho
6KnNlVTadLDT1kmxow2f1TtZ+k3DtLHm5JQq5agjAQHTnZ9a+S1ZD9N7q+zgQpREG+z8vtWPJcAF
IEi4rW8HMEJcowAsCRzb9pM1HCc49bOQlWUaNH3QaoJj4wDGW9YYnLnEDZBy2LE4ab4Zhp2056Xp
F099C2mRnVWVn61iScJN2XX+K1FgZnJwhOSOAoAUz4tpqQwUsAFbZyTAncMhrBZ/Z5gucp22mVwV
9U0raOu52aOSgpcg0NzGRz6bjv2e1V1darTx7QnDDITsCOHnwwReiMTvzOjuCp7mU05qodgZtsfH
7TgDyGh05+IOEia/a6MGfSuDoE/38GuVu23S1Lugbk3eOq9TTxrQIxsCoEVEwk7bAD/FL8w2axQs
civVXRSSFf4CFHzh9JL6qN6XtMy+IHPyEGOAXMs4q3ewbpOuwFxdOoWcTruMJO9dKuv6re1cB3Qh
QcvyWHqCr79qt27ydq4glFrrSdRkGPOS8zimu7Ty5s/85eVVZEUHZRCDSLoZybwZSVo3VHHw6yxf
pQZGIK9Sw6IkZdds+w0wN2iSSeml96SkyyYClde91a0D3tnoZ85umUsBzFmhTMXe1bgu9mMutb+F
WOWfgooY9bk3tTHVaElYFG9xTF3HjGwsONtOmL0aPbwD5rB9t9WFmd94relR9U2VgPppG8GxdVrE
S2pJdI6L3YtP57b0yEfPS3Qu1Te1i1GMZX4qE8P1owb/qbebQLs/SNVMZ2g7kP4ECdDTbt+3QF6R
Bi2zKJgRpDOPfZ8pDGLGkqGym1QWPIObDZ5ylFGfoGUXt9bQLvmWxjh1Uj6kOH2KskzgqaMZ/TLa
I6fBtMOOsIXc4wXbauboDykEhANA+EqcdjqYaL4g7STBKjQ9juFTN5/RuRgVMNlQ38K2MG7DPnWQ
QylF2ZWQmf7Jm535nXSXgFcIMpgn8C2cRyfHL66HIXU74DCzkhBBpXZ3aO3r92pJna8xeEePERwA
YOLFZ32VW9aI6J6qbIncZTEu+8ahoVLiHDjY1FgTwrR2ASVLS6fa8/hk7FqtMipE506ZwRVG8Hnw
wsXE46SwD23i0UYAkhq2BNUTSjNaGMEh/qB3Ne87gB40FtizLfDD306Q0KXdrTSmotmzzyF+0WNn
lwfLU+GX2cUpshl7337+/+ydWXLcSLZtp3IngDT0jdmz+xGBAKJh34r6gYmkhL5xdA5gNtfeUGpi
b0FZeYui+CTL+q6PKqtKJQUCEXA/fs7ea89tp2e7Buf884pVzDiWGEntV2aSdpvEjr4oRp7fy4jP
pJ04Gm1mrUZPP45yiwg0iAXCzZV6K2nZqLHXHuy4xWaFHC8ZaHgl40mDf5XxJTLbF6dWIghL2XLN
C60X62HQ/rwQ62VgNGq9J4xVaHicAernRihz9E1levdoxGul26dGdIH0F41+USYkEs3kJvgAcQaK
/16yu0V0vX2kRcidWl6ztb/Dsd+11Oqh9Ar5BAEM0abZ9UgVI1khX0iqfjms3uwvBfXJVW5OdDkS
iznZpoh04wLtWI7+TgPVGYDv7pug5+SF9SoH9+bP7MVnZj8OcbXFJaMbWSBL2/r6vVX7H23DG6nC
OhF608D+ydQYfH392n4p/gux609JJn/+7D9lDibRIkgVXIdROB1mJtH/kjm4fzAnp/OsM9xD/2Aw
HfkrkESz/rBoTmuwGS1Gt47DGPMvc6OGjJ7JCqhFZo7f8SN/R+ZgrmqKt0MTU10BiqvOweTP0F28
G9KYMxSCrqShwdqE/BrOutRfplHPkhNSGyleif/xnAvaX6HIxFnkWuFS6wHi3lMZg2HNLQD+ztz4
RfHUOjJQTfUAzf5Uiimo6vpmyfqztkp3MuVAkYsX2DoA411EyHnztXOzY7nCe5XyWjaeoPdcbS2t
9dlzg95oWz+CgdsYGPo8+YRALZyj5IHGeChH9yovlrM+HnPsMYvPSf5qaKxrWqy7NvGCUZZhhZJ6
47UKm08bxnoalAWIHDtVv1p5dBuvWWnurG+qQQ173XuSQgvnTDvqc/PVGMxbREoXvQXZL6HEctK9
mc97PSrOh2I6gAQK4OscnbVX3tlOWBnNEwMZrPlWdOTJHGnjBPNX2Zz39p2eOzuQTNtmeCh6EL4K
/TtjacOKZa/vBcoHB8hduSedL6w884LkCHTnRh4QgHdfqckpamXtDyRQmpTRCiKOYdyayWeDw7tt
Htm3fdNdg6o6hvnqTig5iQsDLGcSkOS3eb5fMkL/emWrdNYhFuQWcfCqvfnomOi++uRA4UxB6fj1
8mXNpaCihT1bH0xhXcfZp44oFKNZDhxsEJ7ijdKOVTEwvLwBPrNt5SN82yC16rDl43Qu2JM2Xewg
VKSJO5MGNp47XrG1jV3eriBxHoAT70AUoXo2wkZv9yhSOeo+tfLIor4ru8sBU6ylb1V5MyQPjFTm
/JvS9UHtEKVifE66iSL/qMB4T7ZkMuwXpQtJqDzavRtMSrbDaewg+fC2SFxvdafc0eUgaiYOo7yg
VHLOJqTaY0zzJoumrWMlQRe5lxQ4e3wJB8exH/OkuYoX62ZO5T5F94ND1E89PsE+egB+6xd9dQHE
/jyK+1AzrHBSJ+i8jRVonXvgjToU6RiknNbcog27ub2wzTEcPAyGeRSm+owsLqNpUpI+4Kp0NJLz
dEq4q5wvqeqepIdg1tLvGx0QZI00eLHX6FdjAtUpaMwVu3k2XlM3CxIrhvJIlJfmTWelueyFp4Zo
/uBORwKFpmeExRRdFoZx1KMuNO1oW5JjxbacfBLYgKm/9pFGEmVRN/uErSxkWE+8aJH4amzgihw+
xXJ4NFDs+H1B55UV4IYoHBdzpreLXXHCQRtaWcTblz7OQncOkzcctMF6EQl5Hn1nQwMscfVKoO8t
BWbWqcamcJFmcFS/dfv5pYZe7BbpLYuOs1UV+bCUokAm6JBaQHTrMFhbEZuRQ9zOKJadtHJXo5wT
ev9ZSU13DMtF7l009yFK3BdvBIet5LIhydErDlWDuxj0+EsT4c7hCJhdlMJ9rZb8bpJ6sS0FR/qh
A3JhDtmBc1oa5HAgN7qS0YVpxzSIZD/eZM1yV9bc0JALwM8otXRiVYRMHlh5gjbWd7Iy9jGwOcv7
ZFjX9UPektGXOzSvqaLsZQtilmnmzKtvofiu+zog1JNFtNt13CDwyStdjkFXAjisPO1bPvbZocgN
XMvLroEz6eMXQX8W7eNpPERyTVnDgPndKtirtP2Unbl4t62inZRZ0s7PzJMljS2ez2KDLU/3NTJl
Hb0+z215Dotzn3UK7LnJr6vlm4ehhaPiCK9R2L5hOUFfLa9VV9ON8g5ALciara7sNLZptFa3Uk33
tjQObtneKW4U4hx/JHA0IKZ+otDh5KDuNc4vvZ1fdA5+17FtcbdOBMHRQoTOHY6M45d5IV5Kc1+y
uT/T4vJE4/G5SLXrOM3P42K8njLvYNYQfKvliTi3YucBe9/ZcXKp1MZ3tpu3g4lG9QobVNt5ueqd
V621GH5bKKDsynNracw/x/D/qYDeVECoR1zm5f9/eWdYp//4n+6tvvOfP/JX5WP9wRqrWWBsnFXE
uZoH/8JIG3/o1EJUReg30T0i1PxX5aP/AR3F1ld2ECoOipI3lY/3B7ElaMdUoI8aJdrfEnhqCFDe
lT5oZDAifpc3aEi43HeSSM1M3NnNoaOCccQsk0+Mcw+yn6ojQm4ZXUzVMHkhgzL2OnsdA+8iJs3f
UnvM1uadlryqUd6y+FnZEJ8mj9cOTkKGoDq3OQyyQGmrrV6xF5y5Rdob1/Hkwg1imDt6x2gSO9rW
AhOaGoVDkwlcT8oMMmFgvKgWCWt0RA/O8gA0s728ZgO0/ALn6/3cuWv2bdZ9XXpTfckARqM1LKud
Oxks4kKl3aJZbCf6ZPeh5fbQkUe1vvVMKM+TtaY89UypiZTCPXXsDUU+944J3kq67NC7kW4Pi9PU
4EJhbIgDP7d5Ktsi1ZWdbSMgpWftOZ/soXe9l8iOOE+ZspHtzm4BYQcjQA0MArQouhsFn057npWS
rpK0F3Yyh2ZassopuvZ1QWRQbePImB9J3STfk1zvbMFon9knMTQxUZsELG5zTSTX5qxxynYKaygf
Kxg2jL3WwZiaWoxzoGRGCBm7EhcbefRzucPgzZ8iXMcm8H2iBrYw+5LPJk6grG1AiJrLyA0yaFNO
MdM7oqrMYZ1DlcKyrwiF4F9RaGZVt6NlyBADBi59dayv6doGWmEd7Ca1H0nbUZkXsauS5aeeJxZD
ADHpTke2bn/fdujqh1ltcWEBMgPjnSjbGnuaXxWgZB3JOEJZozp6pXnBH8OXUJ+7s7TIviVLciBo
8xo5iJsz+lSIKKadqfYXjeC3IhkhMeqNnJp7L2tfnZJMtZOM4B9vjZIu5JYBqRd6+Nv7M2pWQQGX
1VG1a8oIGga9xeIG+mxn8JxyeTeqCXfbdHF3FLn3ovBk4wCvqB5RVlTeLSjX+Hliop5ue0Nk0UFi
aqhzAzBrFbSjta8W+zUhl3jnVhmbJkKE2F7oHKciGKzk1PYOcU4Vuzzz2kM5FHddAXejTwmxaOxv
bZfdFNj4TpJMGoQvfpRaxLfqRShEH3RijrfRrELbVu8wz52IFf0Cp3pXKFaIOYCyl/xDbHvFjvRE
yCwpiT1uIvj2dADBcL0oZp4HILnjKlwMpjtB5UzeSfS6eu5iHCx9hE8XUF5Ohm08IMK5LMgc4Rvv
ZJtGl+4YmGaRHmmFuTS8iDO7sovlk5cZX8quyXECk6Fwo8T240SCWB6asSHunMo1CBEkqeFUwD/l
S2PYgT4bT2VCw4JWYDMeOc/Ur3FWjvlhAmicBKWOjmcNe8wvUOPiRWQXk+2ZQYTO1eyWi9+UQjnE
8WRzCpDMKw9TqaU44Duy/W7wy0QMTrQlea4dw1IDJuKmhSPNoRrPQ0N45DbHtTPTks2gd2xLl67n
mn6uJkfJyWDpz8hWpxqiWzVnF7Mpc5JgkPF5p0i0OR8cRzNaPA3FGzKjUgcyTjI1KXmRpjfbZiGt
auu1Zc6MMIYFLFFLHHuntS8M0blYpWmLwTvMyTthPFZVBD+qmPK/yCnSn+oSQ/Es3HHaDXiFcz44
gclTNphNuoKXfxNXtOY7p+Gfmvma5KR6cO854LALkX/VsbbUacTIObbkWmC5Lr63mnzW+OB4kLBQ
1YB4z3bJ7EEntiLaor4JPnPPeANbMnFa+XBAZcvaBxGsFpcGCTbYmw05Rpd/OpDVDAXXNquZQD7K
mMJyYwxGo4cGUIY+7FoPAxbBco1bBqoSA7FpqnNiSNRtr1R2iG88xiM+DE9jUlxqavkYJcVVI+uz
Im7Bj+fyMkGuHmCAXBuzJL4wxnyxEYtei2FRsNaYwm9twZBY1b6CNhjDBVoHMbjREkx2nn1WhUEC
JWzqoCTqflO0+lUTybuV/QvswyOIG0nbIe/r5aq2PDdUUh05hGq7+C2nizRphxB3MdSgGiRaazqN
zx5gXWLBNrdJ2+NEjSwXzy4NAVL6XFJ4iuqcr24UFmmCESw3M87Yy3SmpRZsl8i71hImE5OJUiXl
lzh0EUlVTWbsOttIj2npyp0umiGkUSnPFhDBIShJPRys+UsmxYOoUO/QSLvoNEav5PqJo4ylepur
jc/slRwbvbmv6kI9ekm97DGbGCeLH9wCNUoD25rsja2SAVc77CIJX/H1ePZNQwCmGgh/Bb8KEwjD
+LzEeMpZ5DAYkSPu2w2cWg/R1GaKuPXIhiSY6m0VFhiLr5tGgZOzLPNu4VS4JMpLzJ5AkW3jakYL
cpGY+mdg0xT6HCtPLbQBdZMY1gU9ZnkCGzsQ/BgpG5naGWQeBC+4UDLc/mna3RZor66G0dRfhrTK
HmJnrPGCYvZvd1j7zBu2T2uflPrEMZv3QWtiW+6gwGSgHBUM5o6mtoFWDhw4FpKw9i3nzE9uiidq
o05oEXmVlz4Yvo/FIlsH3I2r+0SoBSMzGVe4fl2irm81OjEPxpSXn9qxVbdR05ZPKiml2cadJhff
r2Jcs3OICSxnL77yHSrkET9+fxhqdXggmV6+jr2YHQ5w64SPGbnHV1aLrxNt0a70xaoGZrp1RNHO
aBBTNPEz87JAbq/VKxfoyZGOtBK206yc21RcLlLKprldvVz5ziTDj6FmrGHxVXP0iLTrjRUKbrUl
IVJ61NgXeWcrD0Y7vdogQK4Se4qGe0W0tW5ggSGUezcmqe0jzZDObu7htW50jMr66sFcJ2NZkt5G
LLwYlYd+q7KvH4SBVXtrRSUSVTrBzzMpcwGbne4PtJDaLeOk8r6vMMb4nTH3tyVpp1/60W4MaA5t
LPZi4FSbtvk8bB0BfBNfcskCFhfOYfYQGTpR2V70tarjMp+a/HoyWvEMHJ9Re1bPfcbvOc5w+8xM
vR7TvD5RDamlDxzSwt+dSt2XJmF0Gwe33XPuEJh+wEMaAaweERVSeSgeggHyz1kwu5yuNjibOH6V
rkrBhMgLIrosagz0Be7nI1xshW7/yLKMRBJa14xnHReHjuisMFYBmlOm1wUhmlaXfFosBPqjORyL
sdgzZuCZLbE6HYy8F2Bd2LLNiixdxfJOtrpcGQnllOoKfnn53KmVTWwEhTDv1Zz5FDg7NrCLwaIZ
T74BKjOUHxRtEHYbGShjtlqmOXrwziD5A82tGqs+TOll4NYdpQzUHwo60mNauTOlURdHTpEu/SfO
iia7PFZvMo4FibruTKtNdpPh10y/6a+B3mGCZWx6ynowAcISvNpN0yt2tZGIMEZU5MO4bD0c7NNW
0c16BX+VCK5yrSESlS5p9tAStCSuq4Xx7G3mZukc2LXXIiKg3QGPR/IzM2Mj4g7LwYucKiRGGAtx
b873uYWll95nWb/i0SGW3c12RFuZmxIZ0uPAmLbeCEf0/ZXiGushAclIvvd0AMQbThrika7t0ASC
EJtX4rR4GHNVLvQXo0StySrB3++LypOv8zA+WAyjD6y95qXwFvuqoPnrvpiYKpMTLtDh0UTpFJI6
3X9xLWGLIOdqEDJVJ7pM2Gue9C6yLjDZkpxp1NEFCSMkr8xLAy+3MYc82ZluDn9xoUsercpkdzhP
tTVeN/HmsriMmzT2/LotlbMoj7VXoFLQh1Llq8xcazM0bhMh96I3g2e9rZ4ld/naGIX5OSfr9MYT
xI/F82SfN/PUnqqKYA1feOP6CMVLqniSgAJ19MeurA8w3jqEI5MTIKxBoVB6zwOAoxCmg3WkJcXb
aWh0PiY0IPx2kBk2TT+ji8E5eum1hQnutZJHJNBuoOfamUA9zeCFx4OrGSCRlpo7ZYJ+NDTk02wY
po0ElVnuSynL/oajruXPDe5oYwLEzdZlnyDZ6XtQD5AsSo8tiHH4KcvK8ozo7RhFimn2t66JM14h
v0YjhYO3kQi3/o4eNaHUQroYozHD7wqEjhZ6h45pEmcVGr1GdL54NH+hFKCmzGv1hNWeonR2uj1o
9IKIFlIM0borC3eM8oBNobzMJ7fcAiqOkT/2aMV5zeXRRFC4mz0t8SPNNLbohgAnNOV0a3A7d5he
UKUNJUPhUTGdszkvOz+qsglWiSjvlkxtOPXQtdvzWap7q3MfGG4AyZl0UhwT2jy6u84OIoTheoFt
otOWA9jB4qIiTzBk1yGSGpR+fq2kZXMgqVzzK8oPNJwMGJ2sV84c8jD3mWeDGYD9uUNKrIbEpazT
65KvZUmkzh0G+frBi83ioI6eQwxC09bPQ5YvN4aV5mEKECtQKTp8XMrGJem8QMYRRV24o9LT4q2K
HXmbfPutrkI50XgvqaO7vpMtxiG3RvE0dDPlSVwhYVqnlYN0EBKbScbK1IPATxytDp2GfFaps++X
aQ1R3wJ3QTL7mH/lMO3Cye+HLrRMkGe9tI2w5oHtS5EuIeBmGXLGzui29somTopj5nXeqRjAR6RR
J44tUvtDTjD3CQ5QGnhOBDtBFhVqYAH6QF/D1hO1vWeqRIpGXXxunTzaAdWLt0qtZmFMwbLr09na
TSXpuv4Cv2bP4HJ4pukxw6iMDMOfMoLNu9YkFWqJbL+yGg49fUJSn6sl5Z4g8ZsED+PlXAC7j1QB
QE8tvfrZrZhImN0yhVDswPzYS7vXzNyGmV+Vt+gnjAfAJu4BmMT4og16FcIHiXepp645Xcjx0Eqq
d5kVI/Az0zNJ3+Vc1axsr4OWyUwtue9IQ99zFFD43LO7FsKsIpOFj6JzdoPu9tuez2zrVCw77LK3
DWjFZCNMuwIwqHbxlZSRte8MVR54p2ICERn3jo2013bkI5JVJl4e6JqkTwr651V00AgfYQjSDAF2
o6A2e2Pfk/PySGgGfzORvF6oEtnjW9JrGH0IcZD1qnoshwt+HIGVAczZqr37WkvDslWMUJusT3BA
6l2BYuzGBK1z06nLg+LRleUXi/Z2Dj9BI9XBHVlEunj6smTJo6ISurkSH0gmHptDIZJPljZWx86b
+gPEhhfZDqciZprTWY2+s4ap3pQy/05Hg87bOc8Uyl8tKArbaUbyaTYJUl0zrDJVXAvSeXw1M2e/
jUmQhnagXHL4MK662ZJXjV4V55PKpK3F0bZTHVpdajHec56+4U1j9mxHNBLmZ+KQ2tB2EoI7JLsx
YvRhm43ZmYsAxV8kAyZVftWnxj6bXWnshVo8dbMXLAmpy8ko47Bou2lPAEa5UUSc4K5qr2w9m7dE
dwcWoEVOFq64tOlcbb2SZg4q57O6maTfGxq9dRdCIeoxFDEe4o0VDX7ZN6wOWjVc11M9X3ZGYdNg
75ime9Ueo8TiK9r05Irqcy4ZC+Cqzh6ZIhg7NjTnHgxNsUfv9ilpWKWn2U62sx0Pp3Jwz0e1DGx3
1HnJJP+6kihh06Pu8ZbqttZb8knpIJK16NhXHYERySqcXbLpamm0YCU/IEUD5xWb+SnNCW3o4/Jz
A3rnoYjnyxSTJnidBpKoPr9o3TRioEY5qcQjE6G57A567X7KLAh4TjqCuSIzlyGGc64iUNsNGup9
HF7qBRm2OTKV+NSBBN0QG0WJkcVXi6ifUkvcFXBdw6pxjq4KDsjJMmZBjqCpVXkXpEkcGss41OD/
/EzneSPhQdE4yYCkpcCh1NugqV45iumjbTLo1dPuphpxHEbqqmZiidkOorM3TQ0RR5bxdQ6AgbNu
jNnB1enjD4SKzOvulzYPZTXFu76KzkZrDhDithg5RIgR4ZJYXOYpU/fE9Arnyyw+pVgNWVi7a3sy
tW1DqvsDaWvFPl4BoqgazSCaZf5kqIig9eYiF565t7AS+HbmHEmmvRma6gvpk5/zWT2Z7UAnbmCK
GlcZkzGb8NwWbu0T+lnkoaK+QqUZ2E4jfLdC0dOlfUBfiBSZTNah4dV3dMUvKeHmDcpJOh4yiQMM
Vgf8GF8VprPIeEEjDbPZBi1JRtsGpdLWABEqNDw3Y5ocq9Y9qqViHto+wzPP+HcjGYTtIsBNAdx7
cYmvhNMeGlo2c3RjW/Sa/dbSIy8AQsK/E7f3UWyyj3lnU912uyGZBj+K5xvRc2oTS3SnqhXT9+JC
pWo4KIrSckReFh6w/olV+jPgbFC1c38nItadmnV3M8Y8jkhJMBRVU7vtCa/yRVwfBMxcIKCPiVvf
Zx2R1C2M0p0tk3uotMYWdeDqQZ+vAT8ZoBrroz3Ueki1m1322bjT8+VAw+4068VZPNW3SW0EcWKc
RhrM29plewfOVBTLziiHA2GMB0/kAUiVM4BliJUwOCCAUckCZ3MqaTUQeB1aK40VHE26aQpnkzTL
iwZdgGCvgzkjXOqZyJs0cavaukIg7IY4v2gnWO6lNBGlRyiTKs5t+qopGr9nAkXfIpa7bVS4wMwF
Vs8GgbrghIKYiEkrX6CZkXScnpba+SY54G+XJCsPhd5vRdXiFlyJLsjIyabnG1sfdDUmyaTxE7J+
q7w9NKN1QkOCzFQvvy01Ka+TegWz6gIZ6uccjfZ57EVJQMeVZaKjm6VRVWFpo3MVO4zTjAt6V92O
GMzPWH/3Q/l1LqTvltNejMsTBL/PZW9x9phOy2QE/Jx7aJvx1shcKvCuuK8c70wdhq03L+cyGp6S
CoQS6K/WbPYIc8HHugovaDbY/K/0onHtc/yCyUVcJEzaxnETR9nZkPW3mlHT201irbqLnVbfVx2q
XkWfHxKRPtvCs/1ET+zdqjy8HaTh0egVXX3Ivp/kSDzLdN9s7cwNONZW7j43lvh1dqyOPGoG39cZ
ihY7UDQTlWFWrQBRyBZ0/aRqk3JGSAd9jDmeniX/GJ8Q6rv4piVQ2PC7qHJDZ4r4cWF3COQIwMC5
4Y10vVy31NCK40G/wueJCr1it05OJkt18pj2q3dNSfceVpkNGL/8gSXT1e9Gx0lL3yZfi+jbpExu
NXQquQ9RX3sUCQcJt6YwL2URppm5+H1iIsJLIeCQhJvdl32xeD4MKQ50rMW8+J1rHkWGzh/tNt6N
2neHxja/YEqMERgubnILvBZlAI3kaduUY1/w0VXmiznGCp4Mm7fyFuVdP50rzBAOUtrtIc/SNFSW
3nUOZVY6xuE/erD37FMdptovBWHna65u8o//W78diP7zp/4aiGowTvFQq4Zl8l9oPP93IGq6f6xS
LlM1qFuZU66BH/8rBUPthS7LY4ZKlg/E9rcDURVyvguvATkLAQgWTI3//j8/uOW7d///LYZmFXq9
cc8bDFVNEx7P+vcA0DHfTUP1rOc3R5WAT1ZpoeUC+/sklrlELNRE5pXIx5Wx6SZ9hVmiwN/2Znx8
9bN5X3tH2V+vD64E+AQBK+gLtHf4VUNXclP2YOpnu7vCkp7fEeKX+6PZFsgou8S6zTFxUHFRQiHg
BuDtEMDYifukpbO0+fVv88HDoF+luYhvPI1n+84bzlG0bxck+LCpabEUbETP0p4VbHOTtynmKD/n
JAvRNfmNK/2d3f7PhwAOwyLjGHuVjfDvLcKAA1PBnoCD1JpNUul6RqNL6I30Ln7zuN+Z379fCN0f
3yriESzNXFkDb7AF4PCzaIAjB79wiO7HOTM4U2tedEKBPDi/ATN8dDEkIhzj1u89k/YfL9ajPEwU
Ivw2C0/62OC6u5CVo/ijTb7urz+4d4yE9b7s9RKrY9eBFbU+4Df3pUWmNTsV9+VkTvSagXe9d3tn
DOGdF/ssgyX76+t9cGvEWbhgU0D/APlY5ZVvrleY9CWGmRXcrh0XLjaDYKY8A8p51/z7H5lr6qRe
rLeGLPTdd4NYAU6mPTEUEAdQatK8GqKNtVQGYkSCcP1f39g7JMP6IF0TXSovooYB5jvo6c2NAYyz
C2BAwGpxfGxJJUT6pAhcddsISf4rsv+RPgtcjN+wSz66LuJXLmkw0wHl8+MDxWSpFbrhcF1Z4TOc
htS80GcVA0aVJvdyzYZ2x0T5Dbfqg4/RdSykukDFEOuui/Pbj3F0RrPsUSzgZyBzM6p4y5tckB3g
cFj59YP94BuKfITOnwamiEiRd9/QxZCDgziVCWq3LNuCCIdwtkd3P7QRZuUqVs5+fb2Pbs0F7YO0
V10D2t9dT0gnFpMLm6HuTPugK4wrsAQjzHXRW/z6Uutf9W4LcWkAw5tyUBXDqvzxKZo2irx4xuZB
07S4gCqw+JmJuPLfuAqQbguinG172rtviIogBVk7qwnpEqj8I+SSeNHlb3BeHz42qEIrD5wteJVg
v/1GdEhgWnumhBMFTeMtQUfFvDezWWFkgWn2d+yaj74VQIJM1TSRi5rv8ViqutgcOlm3lL6/Hfvl
uqwFRDjE1xuHicJvPqiPrgZQ3QWuB76K/OYfb64hB9c2Gl7udhbxsUrpTMDpcA7qNDWnRS7DbzaA
D74YrMi8zWjCuOZ7Khx86EZOCrBHOWLN2SyJShBVTJB99psb++BT4xKGq7keaxdp5D/e2NTQD+wx
R22mcXTK1dU1+E5eu0yvYOre/vqL+MFT5CGaOMJdgu5Q6/94sWgC/tDHLs1VTh2Vz68jXqrWtJh0
KGj+N8VoJn9/dWTH5juvm2ul+D5bb4EngkwY6kU2ptE2VzDy6lG6QUCK+pPc2jXdQvq/vs2PnqlG
WbgWmQjzVqPC2zdhzYVo6ERQ9nXFUWdQuitKA6eAifr/11f6oOpi+/7Xld6VoHajDi7TciQw6FlQ
EjCZf2C9RveJFAdjbt/b5Y1c5krbEUpk/e7L88HW4zksXu5aq7DHrH/+ZsvDfeYWSQe5oJ+WPlxw
lF4tMGd9YXWC2c4ql0fq8Pjre/7wova6zPB6mOb71IG29KSWukDhO8lDTb0ivy9n+z6xq5YsZ2EE
skvM31xzfY7v1ul1I2AFXQ8c1Nw/3ihaHITMRluRiiTQ1STV0Wum4hFvRfZSl0b52SpV4qoVtT3o
Em/7r+/450+Zb9GK6KLC5ujyfjEgbMiZjALf1OBM2jUN/3lTJG38BUzycL64ymoBFt250nS/2Ql/
XoXWry9vjsVeiCfn3cYBZcmD51QRqgJh+HI91O8wU+rXv769n1cFw6GWMG0iHIGUvt9vidAZ0hTa
OYEGQ/I5xrKY+H3d1USmR1P9uR+s+Muvr/jzA+UyHvA8DEY6M5x3i16CToXpDhVF2dNr2AjGWVfe
sOS0i3MT8LhB8p5TETK2iZooE79ZHj66+veqHvKBs9LefvwyjUyQUs2kLFWbJinQBjRgfKVV4470
yF3QNmkVLdJvJpUxtRSK9vXXd//z8mSwp8DWwwdn6Bwef7y+LdKUsplFQ58Qy/OfL3ljAoUCzhz8
7SuRC6wb3CMX5CD/45U4S+jeUrBrrhPIyq8WV6KhzXHZBDYt6uQ3D/bntxSJNMcK6kSorX/Kl98s
Rx2AjWzqEQTaeiFe2VD8nAgJX8tp5/d9VYdxCfunkXALstkwH359sz+/LFzdtkhFoZrTtPdItn6w
7XzouHpStNlJa/DjWlml/+1Xcr0KjQ0KYTLerXcrEW+IyyyN+aQqFY+UEJMQsEk5/Bu34gLYBXtL
Ptb7fbozTRsJ5joElUtzBT09ggOlqmPym4XtgzcfopNO1ijs4jVC9cfvB+E3pGxjcGeqiO7Sg4oD
9qmMD63nTEcGncrfLlENF9yxxtiG4oP87R+v19EGrMX6ESkKirpidIsLKyYjDSWlefXrR/jRd9G1
LfDKsINZbd7dWpmlAEtSlKOOI7uDmglGQ5pZ+joxdweEB+pRGL11DWgRF5yTNL95FT5YYyjreKSu
rdv0vN6tMVaRj0WrUoxHE5E2zG49cWW6heOiaXPaO11XLAj3ZiruzBQu+W9u/uctmopLWzttK9YY
G9yPz7mGQwdEEDoaMWPqEx9Gam8qnZdxOyA6Zrwf5fkN1mbr31hwuLCne2taEs3BdwVmjx4QxQOH
gllDeKbwGx5GlygBzRny219/wFg+uYu3RQHNSZiSoCWdtQfHWOjHu2TGQ6SOCQ7KBSfBgAhhG2kv
sGIGlF+60MPEMSoMCDp+oiB1+7gP3LxoF7RuHsYEa861J6d362qLDLJeglQX7tdqJuQP0IuckC+i
PT8UJJQJjPRJe4hHFUayrXU91Tn535D9hrSIto4qkR0v0zhv9WgYZ6iTzCN3JSUN8Kcxsb51S5bR
SNea0sH2NYhzZEsOUOtRs6B/IMd+RVTNIBXV1uTuMvADyhZJOX8tw4Ppi7DT4kUlWo8phdepBHjm
E+7+suvAgGgDIN5NPJrK7OexK8+SckqdE3lusdi0uplrqxp8CVvCOq1toZgQVHLq9XiHPra50bIZ
2sY4t/HtjBYPIwe3+dz3JnMOWxaA+5bB0RN/9mxxVJiHDrj5tOKzGWcYSXPKinKjpUyS1AJh08b0
+upsseF7QX1opx2RNMIC2xUh+BH2op8nAOFAQbVMF+kW9lqQDMiV/Uko4ObAe4jC78yhP6q9Jchb
5oiACZQB6zVjabXHmgnYAGhgAY3IGybGGA4QuGfVbQBeqRpIpYANNuqZOTfEEGhabaobco6m68IZ
wUMZA6GDGw3RZuPLdE1blGipbobZczjgeUN/nRSRom515KWntKH0p7Y3WEdEqQ0XojD0xu+qQp+2
0kLdD8gM1CiLCObL/8femS1HqmTb9lfqByhzengNgmjUN6mUlC9YNkr6HhyHrz8D1b3HtiJ1Jct6
vlVm1WXtTQCON2vNOSZy3aeudodHC9k9tgyanmrrgT6MN2YS6T8zCZduKyU6utCzFcZ4RKcDBDnV
dmpHaAwicwA/+Y10dNTMaZdABoM7AwyPHhCbo6UE27FNXL/xt0qv1Ez4yAxRgPgZJIsV5ScsiC3a
miAzFu2ZLL2ZJldcgfmB17hoNONjx9xUJR6LoE2bhTzDZjXn1qlMH72IQbqVcelrW88txhFbSIPl
xypa77ZsraQPhlFrv0UNRXe6Zf1yBUhK8Kggho4wSV2bIBA/8r+Ufp92gSkBT+3Kpc2B9aIaQ+qD
z2WbLP4ksM1MbYv0PoX90ndz/4UYLgmHxlHjT2T5LRFTFXvPpXSTL4wGHgOCSVSemVBP+LeRPcce
VKTAb5VlHPPSjBBuJtLQt8itu/47aeNi+r3MidkEtmNPGtLyWpCd45pTs42KoSn2sup18VRa0fy9
bzq0NZBCkuYKHIGW3zVkkeQw45Z+DV0iQoptBX20oNCjmswsF+PHVx3jjgYMzomKs7ZUszpIu0np
AhspCZoc+zorwG7Qz08oRtKbhIZlAhkSJS1IBFLSN2MnvMeJEDo9tAiiRETriAK7FdU2sRFLR0ve
nW2HlnOlf2mbBBUs2Vd1cgByZpA1iyitu/QQdhdPscTJGRpZndQ3QyWg8oxT1P4a1FCaaGKWgtML
6ezmC7q5HFN0YUfztwF5Y0TFMpkrXGP4jYga09a8TkvvvxOpmEzXIGiq8jpqCn+8rMzKHDBd2hFc
JDIZoWXcj2TyxuigwWsdM2ZAd1MwT2G9r4r0Ug2LUuduyY7zcoJsOexTZVnQW8ZWPGqzlNHGp25c
wBXD33wWo8Uc9k28WNOmqAYE7lreateDPUg/HNdBGgCvUckVOTkYdkYgrwPEFgelDhnA+Jxznxo6
5vZav2lXoFPi9HLaZ12K0MAEAnghyTBLdia+Du28SBCrPeM5zpIrf3IMiGb0cBs0S5NrHlgi6ZxO
g69P1yPhuf534tZME1926qQB+BSazegGRu1iyGYHfgmbT+xBPRIrkY8VGSc+VbjbilSX/twZiDYL
4DmW7m70jem3hampO1SlhAaUz9HQ80IiNzvGQs9+CsCcKQ4qgSwdSHfjBQXCM8xXrj4J5Lda4+IG
iNbcv6aZtUNaKv/OMGOS4A25mHXQdvRqgKkIlWzthiDYwIqGVmAYMWRxTku4RCxD78NHcVWUz25Z
IXDssnZkdzLUHXHFsyGH7YBYBuMaVb4tmWkVhOPeFj/cAVPxJh3n5thFUEsnO9I1/HZ+9jL37vzo
xFN86SBYu/bFWO6Mws+v9cLL86NTju0UVD3hVzTkZmPZ9XWK2KAcMzlcueXUd8cKhQXo5r5SNgWM
eRY7ZUyNDJyxHPXNbFdttW0MWHk7XRAVtl1mZmdkoZmFpgNVxgwVAvRQYACKncPC1PXyqhSyRO6H
+JCaRZJ6buhYw3I29TLPD64aJg1Rvbn+YaQRmJouIFc3A7gcFmgtN6OwLqGuk+am0uKxcGvT24+e
0xALpryEHwK3kW1OW+BarlAPxwhAmmUK+F5xDdL0b0A2QbO4h6E7oOGAUcpotACgMVuK1kDpxsWC
wYcriBkiNW+o9ovivJ+ryN7iAVz5LDYi5E1H9/AK5T77jEa0qOtzp+WQgJB3eSFJUL9E4IN0pBz4
daGBz/pG57voLmivF9c99Et0CnXakFUWtyxjUomiCVmHQTPOc0TsKKad5rHOhHFbejPbDCgx/d0E
8bUh5dAmd4pEVRCVaRybsFGt0fxN78MlxBtLU7ple0NyQ+QhC7onGKTaZ4OjgOb5ViEQH7bq1pJ9
QaCq1hCIKhMjhfUlOfbzsUt1gbsRSBghsfHvxHKT7xnilZ6R6+ARIamCtkYRe10VMnXZ2Q5NDH7q
hPbmuGcNzm4XoGoAcQbHuXbthsDdRg7jgmqx8b8RtOjQJMFG9dVL+g6TaCz7eusMLbLAjKIkAOhB
XcSMK5zbTYrkvQRcfkPwr32RNkb+NKGQ/TEYCJ23JgTgZ0YvRp/U9qozhRKetdIe2zxgV1KsI4hU
18DDzWYSGNnWVxNpFleOilGZcExHzdqUE89r6PqfOCpEG46e4YaLISHGKXchv6UQ/JiNygv5G9Ft
91A1Y4U7r7POUsOMyB8ki5PgWE1JK4gbLf6ZwFkjoARd1ozDIyL/LWuFxE2OGgTAFCVe0h+Ip+pi
xLrbkk3EfGGC1j9CNO3lFtTZNG2MKoXx4MuKsdUUTvulJ6xcguBf/aD+SkfajMSB91dqcRN2Xpgx
yH0eqVHiy8g7ebTLuGrZhiUtm7GqwS0AoQrqgJFYBoFOG6LGKpKTyGbPg56gaMBtEpQtewVZ7g3y
vWByNQlpnxMt/Cags8tpRUOIlIX4Ctl6LtaCXJnabnG3dAveOE1IYwnRSDNn0y7qnnp8tT6Sa4Qu
WzBtuO48DFNApEQn/G0h2TCwZkgQXl2yhoACsBjCxetQ4cTJyN+29tHwQBYjXdmAEb4Elr5Yv+MJ
30g4lZGjXxkmVl324KmAeoY2a9xWuoW+L5YJvg9tBkG/1ZaKv7usTIQ+TBAQYV2WvgdMf/4Sth2b
DlzEyMYO+txlFl7PgV1O3aYYIZxIKv8AYQq4mF93yG8tT2vBPljkWc+yYOvpmot2XlaJAznSm9u7
qEebiieXSEYE7/hOmEimeNkNvVFBP3Mc72JuK6uBMpFAiWyczhWBR1S7tmn1ZcAuYnutd+b5qffC
/o4vTkYG+/FB+M0XgrXzYdMB2biZTNSoG0gt6T0eT6ddDSv977yUYJ+01EURlA09gLOunz04zHmy
/CZ4zz+rFPidEJK1ebfmI18uYzF9nRsbvrWeauXBW8oYBdGA/zxwSj9DAxQZ3q5EjGgcpR7756pO
+BEOGqbfnugbEo6qPFGB3bYaftZOo+XLqskBAV1RnASaT+2RfT807jWoK/9llwbB2FLhfwhaN5pJ
b7RU1gUsZwitKrfAJqNhv0fv7fX8L3VhT19Ajq9WPzlh2M6rFvsRZVSGWMQvD2Ny151tPSjsno09
p4d6cRA/o8Cdp2CaNBiuDH54cF1D8KHFpMffW8MItzHgpq+OnxFvU6dG/2KawCtu3NhmQE8ohcuQ
XNj1Z42j+iF6FJdB7CcM5S7DJMJ4YsVhI2lNX6aFGLsb04vt8lD7CZySDJT8feaM2GiqChDA1lWK
sW3GCZxHq+2nl87FnD4VPj+QSiAnFUmVFTO58WqqKvvoOsNQ9iAU4FaYNGxyN+xcASZjj9UlS7fi
fsyYlDwQOOgIY62dXjKxPkeI1MkQ9rFAsTYlTmEFmdVx0GFfldzigVppxl3Dz6lSOb2IeM0B17xC
n4+gL0V8rDKfK5jLgBOe1c6/6DCjuBc4gLkd9rkEgDMNDKzUE674tLAdN2RrvX6HEMzkziwXb4dc
s0nAD+v6b6cr+x8f1x1OKjsWqgkyioBNWIxtFyHT26qDHU1Imk34y4OGvBVdHHHBBxFHDY8+Ij4P
qRIHMouoPMhx3Sf9ptfa8D9qHv+5+lrKtVzqq45xUtlxLEB5mI/gttaoPhdrjrcchgz2xd7Xtinw
pAFi5pxXx2HBE9lWmTfv4eH2IUkB0SaZ7e5RMxlDHz+UV3HFR79rfWr/KP1WooVr2yTgI6O5TcJO
x08BprtSYW6I3ykWQ+j3sZaKDShapNMDzv6cwESi1yXnsdYZnj7+RSdF9v88KN+m+raGdNOuevuD
WhSObJwySt8lh2RMcyS4RKwGtAH72qk/KfedlKJer0ZJkwFBHdXgH2+v1kxWNeU6MZlzZns/rNRl
SxVN5YTIUtnqR5TXxiel2/eGoYvWheKeswrRTkqpVRT1dd5jqLLayrhxohqMQKR7IcBsdZyl8PdN
lYxBbTqfCE/+vDAFRYxl6wjk+qeqt9nR7ALuKsfJipBvyqnz5Yym6Fxhr9t1isDl1mtxVNhFvPv4
lZ6UdHnIb6988kq9WuaWgPaI23/GxFMbmfSvmAjUtd+WkIqmaGGxbXU7bR5KqzPkUSY9Av+Pf8X6
YN+OdH4FCkdcX66Laeqk6oiVBA+MxRdYsIZyZM2M69U+ePz4Kn8OKK4CTY/B5CAKEyevl0unpt/y
PZmTPpzZSLsRRutnXjtN965pfJYs9eejpbnJMELt69IzN0/qtkzAtt+a3NTCn37TxjWiPW/HvZtP
hLxrBa06DYjYxh5GCFGjvv/4bv/8WGk+MqeZpmU4TKwnd+tZVI1Kjc+nGzi+Dop8gdFkooL6cPj4
Su89V/bSOmI2lGIoPE4+VH9V9qe0ciM03Mcii8mW4cBKYcHVOD9D8nav/osrmihoCYsx1n752yvq
YslaTriA0BNt+hnNmgawNnPTjQ0zgsTy2ftEcfHeAEVJQlNnFe8Cwn97wQmBjFWbMVNxN7Ks+0vT
Q0Vwe1l98j2+eyHUdj4tTIu3dtJdTEdnakvJs1xw97J5G9gwK9V+cpX33hjdWh0RIaIwXZyst5Pr
DUuecBUMa7ZDOIm/HAD6dCEEkvqmh9bwSfPkvcFI1Yl4NRQOTLEnH7hTU0CdvXWI6NK/naqlJZEg
jl0tHIuyKD+ZTk5aNa+Tmo9Bn6doYZA9VW3V/liMCKkY+uDEvmMKYsXAV53KpbnweqLIN+zR5NeP
x+Q7czirlW5i7Ee1SIP47RBZIg/2bV1XGy8lFYhXHEH8m6ONSY52WxA2QDKKBb16LvJPbvedt+ki
FjZ9pBzMbafwTiqjNd43vvQ+Gr1nQ8/1jC2LLg9kHmJONJMq/PhW3xmk64yGUo22I690/UH/2Jj0
kz/YVkL1szQ1FCITZM5RM8Xu46u88xZdw+Fro+/sIb8+GaT+HMWrbWMVauS6YrucA/s2AezDtKlE
x/vMxHytz0DfPpnQ3r0y6xARntSH0Ii8vb/Iy2ZKvEhEKOVywFCmEYEg5dvYzCiDfrC0AGwAOCOj
Ty78zmfC9QRbHnp93PI6xv7xYDtaFO4wcuE1QP6sr4QMHaVptz42+k9mtHfuEZWViZ6L2YxUvpPl
oS2Ege2yRBBKj2yrrfZTZYMf5Kmaxm1Tp91TrvufiW/eucHX1jhySoTghji5QbupRt+XfCTkj9lb
0UHHWTNo9rFQyydfxTuD1DeZAhAZoQLEGPj2WWbdUHbjwg1GhWHhhtcUQaf2ZzKmP6+yCk5IMPYg
5aALORkqQlKZS1tkcVqbjNf5lJNYlGTyk/3hO1dhd6TzT2ZPFAQn0+foVQ31ZJ80HRfodIN5MwCG
5vz1Z83Wnk/OYAnHtmKfvBxKg1JxygH2ONNKue4yaHFgGbB3fzLM37kdJmadZj5CV0bCyZdtSsuK
KY+zyE0CR1NpEIGXqG8fTx9/zoo2smCP4FuHQjD//vb9Y6fRJ0W/i+qgnZ8xeZLgQCuBu4PoZ4R5
Ejfz88eXfOe+UHpRmUN/xaxxmgIJWx8RUsFm2jQ5LHeJ1+xgUqjtx1d558Zcj3kRlbBLJOPpVSZE
+THnfwQmPjj7ukjcC7R0/Y4EvSTAB/mZNvH963EucV6dAKcLmzTE6IJ2rjZ2odEM1YoOskUVxT5N
dZHVt6PqzJ8f3+K7D3JVdbPKIHn4ox5QitQ3V2ninBD6ggMH23g9LH8/3ol1ADJJtgOz7umpg9or
dWvFAjMWIrrx1EBPJss/i5hcx9nbsw2KDJulBCORz/njZIZYw1PwD0flxkTpv0sK1QdmJqd7DE6g
+SZCPvI8Vu3W6Idy//FjfOfNsd1CS25j3SCI+2TakKlI2xa91qZ2rPhp1Xs8LaNv9buipp63JplA
wfv4kn8uK6hzeGGcB3CMYHJ7+9UlkwFUxlHlBrrBsrdHQ/9WaBDULjSDmgFpMNLUKckmtFg+vvA7
QwZzAxAtDiF8f6fuImxAbGDhbNADGbSrzLbgKjfN9Nf7WG4PFx7mLN3hgZ3cHkABd/TJVoGM7FV7
GpaIItACunwKRVHanwzQ94bOujSj7eKJojB/+zBHFjXQ5GhBijX9LHOsta2Tahb0KTcDcRvPlzad
sj0dlPnL3z9Ol8eI2GpNtrXXhfwfOxHYAS3N75W2AKPrBu47rL5Zd4KPr/LeAHUNjuTM0zZH1ZPH
STeuwfHHqyqdlU9Yado3U6FTnXOrBYoD0OPj6703SNaTvEtBaXU2nawJy9JDIx2R5kRW3aTbwRoa
kG5JKvpPRuOr/eT0q3epMqy7D/71VCqXAtKIssQsCRiJ5LTpEO6Mm772VXGwgTBUUCRc3PDS7DyK
PnUDER+xLvERiNw++S3vPORVOsZxiGfMyn7yKheD3BuCpJhM0bEHtBAbOe8yA+SzG5fl9uMnfCog
Y6Fl0HByxU24VgNOBWRwRaB7GxTAMz2Kgc+WZZTRRYIY2AQJ3iDyIAFAET3V2F11LqhrPeq4wZFP
SXLkCLbN7eqnTkSfOhRKI5h0spiszl1DInCJOFp98o2dOk5ff7CFK5x9vkBmd2okUqWfxI4Ace3z
MZdhKgdxOanC3CMTrw6RF69SrLbfJ+BYMFqQjEazbXb1LyY/d/zkg3j/12BBg1TksGScjpvMGQop
aH5uomVB+YUaJX11ylh2UJr+cG2XiXYUk6RLRFrKtinI/dPk7CFCzMTfyXL/82T+8VtOdtAJMu0M
/e/KlwVZiXWyCKbY+Oww+d7wZLxgQKVSxXxzki1dz4CPXYurxEObBFbn9y8mqYmXsgeNQAKd+uRz
eGcOYIfm8EmyHqOUX//8HzOb5Syk6IJA3Li22YadtiBincvpk2e3flQn3z9XWd2uHLJ4lScfnUJf
WaiR0wcSkvY5yggLaFsj/o67+bMNxrs3xEkO95EnDEOcvCaZwceicU61o3HzLQrOIewg/f2dJ/l1
MMDwxhu+VlT+FN/GbtQYeNNQNsWpt6uUskaQQDGoyI9nkPeeHMH1LNj0GNaSxtv3Qyax5eHv5EJg
m3crmWrr1tK9beDK3v83l7Ip0K7bdZwoby9V9qpHj8NLatTQXHvRgLYk9zq5aren7OG/uBgSYgp7
bNwJe3l7MavEweOsYWCY35LdOA64iVC/bME3lLuPL/XeiGDjx7KKY5F9w8ngW+mNTo9AjHOIXd7C
jPKu4BF5n8xV73240ALctejEAnO6sa0K6dCuZNxVqGfFZlymDLlQOn1NqHvt4Gvl249v672RQQkR
+5nl+auH5+0TNAfozsR2sCepc+TESykeugwtA6eF5JOX9ee9UYPBKOCu9mOf7/jtpSZL9wsQ4OS3
1323T6L2tva6M6R3zoHoV/nJjb1zNQ/hPkYhn80JPo+Tq42mhqWb7Dw0lc7ZKhb9gooJRrE+LjdR
m0Sf7GL/HB/kg+m+vW5OOOYbJ9dLcZRZxCcjJ3Hb+LnRF6Q5pjHdffy63r0K1hE+Y45wzum8pGnS
UfCksK42cf4dOEl3BRwl/+tRyPvhma2j0GX1PnlTNAGWuPEQclVylje6HrkNlKqsPbPKyXkkrbz4
/de3xRDEqoJj9rV59vZlmU7RoUTloIEBnyNAafxKK/cvjcDMtpwyLKYlJnSaracVEkMbo6ZaJIfG
2iSGDGCyRs3aqgJy3cniE7yzT57jn2+LeR19vc9JlX3r6bLYAvmxZ0mvby7a8cJdsghk2GROfz27
u6RZudjDXWZ3Tt1vn55Xarr0fALxEnOoSe0oX5aG4ABIP9Hf3pCD1Mrlc+LgbawH77dXipH6aqNo
m43ezulzWWsNEZfJZ1X/Pzf6XIYTL/sJorjw/ZxcxgVo0Xou6BHA3WaLosXLzPMJyph5KcemkCFw
JhhUkBDJH8cW5MtbuqlsjCu9/bQT98dL5MesUwhnfmYTun5v77ngLJUCvWw2c1fIGsiwmVxYJMf+
7V6ApQXHKAOTCdLBRfn2MmKmjWmthcLanbytb04vlSni/5zV/n/Ayj8CVig9rsvm/ztg5fL7UP9r
39V9X//rV/2v+7F4yxZ6/cv/D1vIFv8GB0JPlFWdOZHS/v+yhWzv35QrVk0D5RGK1OtF/5ct5PJn
vFA+fBAfwl0ZR/83Zs6w/i0cavX0PQUTHm/7b9hC7D5Oy0MC69are4u9Kt+/u66E/9h8RyYq/sjU
Jck82IHWzDXzoQfSMu50pKkdJcZufJFTOz9lIy4IQZjtgCWl1Y+NMamgdiv9nhaa2hpxNx+qKSPl
yGoedawVP+POy0mDG4erYTQAsKhYHlETT1A+60TeJpZZGPAr2fkvfor3xhWI6tJI6t9my5F3fkNR
ThEv/aj8KtnBvsWul+csjRxeN1XC6oLx2xJ7k0/swTLyftrg8+l309h3zk64ca4H/ti7j0Y1dERW
uiQpEM+ZP9Mt9PWNLLPlkCZt/csjsO0cnK/7nGqDu2Vhu6t9n0aTtZCGsO4UHnpwr1fWQghN7WBb
oYyJQGuadO2cCFQm6RTNdU1PitiaCY/EjzwevT2nK+3cIdzkuiWL4rLGoP8sCIAcj/GicyK3hlZz
nl5510TPmIFAWxVMlfLSLYIX89miW39tyVx9KXtpPIwa2ap5PcC0FpFCiDZlE0/MmyCxISGNTQKV
VU3WZGIuoShG9G8ZYvgNabmrtI9acRjXpfoitCn+VefrDXKCGkswa0Z7Pw0eOndLgWhL5xGIW5cS
P5b41nI+TR4Su3iwyWzg7ui3c3RHq5ZzntpCnYTbLfhPqW7k96U5+FnopXr8KzKxYQUzFKM57JuY
dFZcAHjShGZNZ1Ojo6STifkMfjK69qZ4roO1nHjD2socBtMQub5b9AAcRswavEgS2wUhzzNFqsfZ
RvyfIcxBtA166mYg61SGBfyFs9myiahB4NZv80qvb6Mxdn5OmDbQYpGrhyNQD4a+hERdXFPInuet
59X6gdNu1gD5FOVR1y3/2ivM5OtouMO+Jsf1AYIv1KshzoGtL53uBjZhISNn5DE6oiw0rzrdri+c
tHFvEzL0jpWhXmCHZnS7puxReSPxdyklF2GW/nMD5vYhmnQsIISOtQ89GlKQKVrxmE4Eqx49c+YN
Re1EWq6lVxcOzP1vvpp97SAKh+5MP1TVdhLVUhKlYXmXr7EdIOlnHfG/lX2fEPl617U98TblIout
ZY7jk4mq/jpJCcnjPouM6A+2IAmZxIgckc44qHVbK7qmmYGKskDnWYTIGb34TNhgdzZDb2UZOFEP
NmdvSW/vOav5S4xQT89FUwoEe2IF2k2OTTZatXQ7x9MIVFC+2pM9BP8uemXhTdkA/J4hkYAqTaYb
BBYg86zMxnCmymo8A7pthFllZ9kGqn4cLoWR8Sk3QPe6RRXIJrNXGl+rW+q2IS73F0pBxJ2v5D6O
l/oDJ29vT75RsV8WGydc7gWaM/T8X+zUDrMVCui+8gGnV1Zg98oNFJgObqmON6HtRL/tV8hg/Qoc
bBJJTiSjL4pvaDsCJWylZX6rwaDyMbyyCzmmenuWDb5L5O52fDdVq0HOc9N+Qu9KOnY9ecwU+Ssc
MTb4THfIYAk7iJSHWw/jDyxFIfP4l/dKWLRfaYvLK3nxPzz9lL+oPq6OgYK0qs45lp4oLwYI+pSe
nsmvAgk+99FP6cZ9t5GiPzppfSuGxSPYIHlKi4T0D5WEmW73AG6tn/XAFB+Bwf2VoEzajGaUXtpJ
nV1Nsjw4WluEcpi/Don3MGvwWEf3ak77s7HU8WMVF2Xi/fLi9l7Ts4va7G59CKnkV9dqYyqOZQTp
3hbQ6zawH25ble26ZnmMYvNnPgKtQqMUqljd8qTdnRHPWZDqTvmll5b92GrkgvCeJJL6pkbZucxb
PHcjbqHxniQSIMY+0XxN/tMlMMhTwiFKpww113p2Zv9uAOrM0nLn9PqD2xGHI4z+UAtxjYD5PNIF
OULFvmuqJyzRl2kiL6Ga/IiFceH44055/GJOeHroKrEbovlOAJx07THjj4Zreuhb2Q4XRa2Sm87w
d9Hifa8MFqQWFfvGyM0fEhtqA3L7LAU9ymJCLXsBPMUXQLZ4UxUXGjkts2b9JAP9qWrhUsbevT5Q
k/aNLxOeB9KayZbqzRQKaT8cI2N69mpcIxhVV10gAnOMuen8PS2hirPuIK8efGgdqQFfrdYJUO5d
/Sg0pwl6gns2nuGlRNL7yLZz/1eNW/pQt9pX+mssCAQIbZARkuFVZ733qmq+SPzl62AXy11uyWkX
i3XBs1g9qAMxiisWQQ/LLLLptvPw9JFWlGUtfiFrce8iohQezSkTB7EM3r4c+jySW6tK60OvLBDz
XnKT8A3voOn7T0lldcduhBadefpv0l6aLWeV5TEevHgn3fSXs1gNMN7SODSD5xELg4gbqDkynsYe
oxfcApTRU1dCDpDuVdFILRTM99VWJshyU5PdCgoquQPZd1F4NklCedxslMh/KJi3mqe+ammX7ojK
TjgRp90tzqrbivn4YLXZb23U5JZfQBxq1f/wSJUOcBMWuzLv7VDGueKUQQztJpuMPASP/U3VI1bn
RipUy3V1nGZ9BAg66D/ibHSDYrEuTFmea51ubBvdvo8QeBxLMXxD61/gaUBdw3Je6DeDcgYq3zaQ
weEuTtqdQQpHIBOrvxoiEuEKNHzbeu6OaQOPKuuMu8LOD5nBFJ4D6QFOlYptYcX5oWYXh2ZAHRoz
ynZ84SSsIbg9653mghyCKy0dvuZF+kuYGK5i3HxEAsT3Im++GMkclhIkvtECtg+cFXiPda7/quU9
ObqDcPZGga2RnAWSdqwfjexwa5OO7o7a3uP2SBjAAsVekWnfUndAwKMbpU/Dfo1y25hZVAfOANmy
n6pfZWYc8e7wF426NV7U0yLDuhh+x3qxL8d8vBf4I/DcIDa2lvGb48TW0Snq5WUudXvbeWNCPi0S
pNG2iR5LlrEK0qk6skz9kCr7wZaomEl0Hy5NLy9D3Uv9A/bB9jpOEv2q9xJ1IHHC2CZjqZiiaVkG
C+9gD7/tq2rxd6GRGb+hjnDvNfFr8MmuNTVvPmL/uSCK6BvEKRNO7OIH2aSVZNgOdlDVKXEC3og8
emI2EX68QbDybGo5DLZ4uc1rYuZ6Pz1rJ0LUGzVbYUsy9ZZbwGVT9FdEZR2YYgid8q17I1LXOBEb
quTtXT3E5tHS3DqEUBLGDoHsM5F6QDj7+zpKjpwc7AcYdjthjodEklLCnipgy4Z3vjyrZvu7nPQX
B9o4E7TEbK011MWZKbOVEryBr5bsCLYJNILSqFkCGSGFQ99yukRkHqknTfU0riTqdzMj7ox8p4jc
YlJT50XfuEvkHnPVX5u9ViAAtbaxuR715X726r2mL8+925sbH6vLy9DaeuisxqulGJ49oldu3SF7
4Vld+QzQzLAumhSqNLDIdkWMAtKy2Zb7JuhvknFffGO4IhBhV6bzOY6+r01FWB98OAmEq+oRS7Oi
eskTMTu/SmPKd74y4qDHlqR6k99j2tGuKtz0rDH8b3Fnq/2QRxezBiu90+WLB/JzS4YhaXilRTz2
QOmntPMvadFjUTXxatoLOzw9i1DxLi3rfvY70qxfUbk8UWkLcVouD4ZThInbhknn0uIoXWO3lKrY
awWZu44OTzm2x31WJUdzwQSNGT06V4uJyy2PofsLHNuyXR0vjWmHrTFesgmKz50YKXg9KuzyWrSQ
ttgfcmcmwcSOv4IRRMNTQ/sYCdDYOJb2WNStTZxGIjZgOvOAR2/s7Vb4QTGxhzXE4l9hKO04oq2z
OvzP0KrcYRtRtA66eezCVLnOGmNcHUZNqy/mfgHT3DZYMjCGHYxGiwJ9sKFfEgS1X7CQ8te2+plI
WN4Uh5djadiSduF01N1eP8+KdTjmc/w0D1O9Sws41XZuhdYIIWgmZzOeDCPQwdni2o+uytTF8aVc
PMJe7W4XxxhvMWDwX9cEHSuuV8sSsdwa+6GDu9RfGbvlbl40+AxVz3oj9eycCQ/es5U9LQVSnXGC
ylYObODwF7qs8Th/2VSrQIi5DmVGznSads621dKtKCzxXaVIDAEoRttWH/exwUzN+Xbcz8NMWgeR
dk2bv1TFcmX5fbcDsPHIFKzvXMPSdplNAjUqMhLI87rYLR3v0xv0JqzzpNv0OmZVtP3snSJ1q3nt
xVKbAHf7BWtcA76FORW4d+V01FGjgV58mtwWcsgvwPX57Ow1CFIxAX32kp+R/syhBHFtUCKN+DlS
CdvMmDPJn8BPq6wycI0iBUO/PMSk39G0lGyKJZkALZSqg2U011KbO4SVlXC3juLD7jA2b2eBcT/r
sFCz84iuloZbcEoRCkP0D6JLQPp7XFQK7afJ4nM2thj1FZmagS8qI2zyudnUkZbtJ0wr52pE+QJb
5Q6jJtv0KNJ30ir0K2nLc0QOKWyR7puZsmMhAxYFSdQ8NXWd7UcZGw+JmxpoH8hDJ2VZYFyLp3PT
n5+J2NpZdNCDLknmO3Y4y0tG952McFnsFAbMSz6kKzPuc5gYwt2l2aLo3Cpg3XNP3mqC9lHv+5+T
0oszGgtfq9nqN4Raic0EHeKrnWZOULRpTWKgvYVnljwPecyhM8fmugw4/nFdfwc49a2pupqMcz8g
OyugjDK9JA1QBCfrsHCZxjOB7Q0LLynLkztbW8MYMVUb83gz2KTPL8XSHFycRqFVepKNMqq12nfw
JGQ9pjB3dfj56zdSLbd2ob6RbgI4X7XjFlrwuHE71ntYSiGcz+hQKau7djts9Jpes/QLHbeZMELl
DkT7gH4JRz7FNHNNuO6VGw4Jdq+oTctbmdntvs5J88tIa/iNL0UPukj6OwI6idYq4l9QKRNqAPZz
NBnWN1TDP1rH/dV1hrMzq8T6aVhSe8zLrpiIsCPhy6fuOaU5MQtwC8hBh1mSDo5OLkbahLxtAzdt
xP+mc5CsBXmfVdJSYI96jS18XpLk5/sXrjWP3zmx4qn01qAKor73A5mP2Ks1xeap7rdN17KrovpG
MclPLtx41G9doX0nKJ50p9y+cwmCV9zuTppeuXeK7Bm83eqnj2bCeFm1nY48EFSQLHIZYWS2sn5E
A1lIZGzL0M9A6rTahDk8Vxh0k0PNMYuqVG+AWBjYp9cQ/WeXJJC5qi80N2NTx3yixwX5Mr74QmXv
omo6/6mM22vyRLFk5JwYSc5t9C9R2yxhaUHhwBi9CLb1BB1QFSoSsVvyJr7ryT9bbieoEANgGklG
DBkNpI+Xmf+jq1TEmbNr/oe9M1mOG0uv8Kt09B4VmIcI9yaBTGYmB3GmyA1CoijMw8V88TZ+AD9F
v5g/UNVuZooWrfbKEd50lKqLusR0h/8/5ztNqgZNLaJmy4wl2rMaL+fKUBS5NtXQ8B2PxzGPghqO
mwMW3WZlbbfKmk6X0cLgARV06qYdZ/66dCITMoIyJKu+Vn1uStQyzcuhDarJMcP2npqIg/WusrXp
QiPPC/grXaE6iJSCimI9OsSLjzMkFj7MNuzuesNrdQI+hhO4LqS8Go1FhhtyiS4ORqNJxsuoaBLy
lljHT4emGwqqQRKgAWKVJb6BjIEBkGjhbaoKMGUgox5gDHtxm5k26RrvrJ5LsG89QX9NgFd9IooT
13wPOIOUt67KqKeEFvGT2dDVZ1VqJxxdubD11FrJTIXNAEykiix6FEMqQM0OBnkzE39rAyLJk8De
RJRjc+2EuAh7PetOPNmq1dmE3T+9Mwi0F3uvG5Mt7HT3HKu7RnoM5vY86Fgv052Xh1T72Jmnt6o9
WM+i06bez0wqYesSCBOgI5F45poZsl7bpaYBhB1I99UiApk1OgEs1JJyGq6qAagffgLnZDQKF8sh
NYAlJy1lanf6znT4pMr6k1rK/Haw9Sg9sWjVVlt0GMgeIxesy46CWBKk6RiAddBOsD6H9j4bUN3Q
5rIyez2QWdoQUQJGgzcrr9W1QbRMgoNerisxgObBvHJK0rNvow9Te3fvVL26baYB3ZBdyehMq2v5
lEaUcU+aWJX7NoEPEfBG9yc4sp9dK93VkJ6mlFpIZUtefGsTGvaJ2hU3ulLulYH+fEokUaffx3Hy
rRnjbaMqAZupM1W6+zSpk1XTstRpZX7ipMMTsds7UYwB6TBf7Kp9cEv7gdn8xrBY0JS50nzDIk8o
V/NVmxbSR1PuKyHS5AEb8FA9US68JlbzDAPAxu2fuyZ5iqXz3Gpy38Cw2FmNO6hbZTKqs7zWGrGT
VS1WwwBZ2a0FYRVj46mno2hxllvIZiqE9r5atdfIFdmFd0P+OSsS3gpY3vg1eDszXPGr2fEGO2B5
SCyQA11s2VfxjMbKn3vi33DJYRevK9got8S22JdC4QULSu5xvIMLxs8UYzcavsJGLb3DRPS1SCN5
kzpx933ooSPuSQdjAzy2Crr7JhYPlEvG59psLeHH05xyvqv59lYj1x1vxyHLIfwYVaZuPQ22kj/O
TVIGXWdMD6Y3k9USD+QjBrk2zWcd15yQRJhN+l56Ukm3ApfECMMJAQw+UYibJ45Srtnz7tuZeXjF
fpJ2GC3HvgNZQOl3I6mHd4RdJtEXvYpDl6dk0B4QIiqicyXWVGzttuRc2gxe70DuVNVvaWagYG1C
jcixLs2zXc/cqpxpJMwlwJ1wqZy8Nnz+vw/2tg8Gg5Ym4n/fB7skWuPv//EVJOpL2YEK2X3721/1
Hz/0Z/fLMEnWoOmJLISW+Q+Z4/jSdn/7q2KQrGGTjwHtVVcXZw0drn90v+w/VA5UNImRXtiOjbDp
n90v9w9D1RfBialryBgwLPxO9wujIM2tt5owFAOLlRnpBf052uBH3dmMeMOkzEW+IqGtua+1PH1q
tD665RhCioWXdUq3o0EX3le1an+LiPu6LfTF1WjUYXca1VP13anLaD/XXdxu1NTRpI/4mzKESgmO
aMYw5Ogt6xkJRGZ4yPUGsuug7vTZpatMvRnECFAn9BhN8nUqqyiDMwIUaKW2TYW5P9QIF1dlKB4L
tMWPLTsVzx+cXEcVBZYJpbMR9hw7q6oZg9DI8oux0mEsgLqlnkc2eJsHdaqw9SZ+dekapaT87ofJ
Ke/Yb/ScuWyXXerIyfMOYF/aAjtRLZVUz169Ngiw01a5WZdnCUfR+AK1McEfzpToT2rEIWqLDxTa
SWwq+aXMk7HZtGFY2hBeJn0rYPaQdqgmVCyaEuvfhTt24kbFvc28a076s+cWHtCWmvoxWIEp4NCM
Ild2GiUu023MG8JJzflEFGqmUiKi7LAqiFbdwC3L7J29KHF08tweC11AIJiJJT9nbU++eEIfqUuQ
HkXZceDJ7Ou2Mu+qMZM4F6C5UCBounZkU5H1oFEAdyl+37ps1yKj5L6lXl1cqF3p2IEXhXkwlbO6
rsJ26a3ktkkcWx8r3G4QUxzSvXz2ifxS4sDWomn2w1lMtDyiRMOZYUI0q4CmpCvHiBqOmh1l8p6V
Wl0Rx63TjBrpE97XVRSxyYn06jtHBxFv00bR6I2Uqv0ZL0HX7/RoLB4zsigNSn+Jt5ukRjTZMMvw
wVaQAa4GRcu6NQpYFzPsIGOHuVa2aeBGesprl4fZ6IelRa2yQqyl+Uk7hQ8yAmrHCYfWoW/ltXLn
dG1yFTaY23xJ3qtLquZUgdNprZmQUzIz6YF0Gnh/mSnmCRG59Wkpp0RZNyqcmHU1t3AMU8fJrqVr
itlnw2Irp7JygQ/VnMOsVWekSbMTlJnCNdXjvAhIXxpPic+OcWNzZP2apcocY8ucHSOw6wEClRnl
goN5vhxBq3QqHrS8Gh/IFzMulRjAGTykRT46tG13nlpJ+NlxS/kdJzJNAkRchbP2QnKo/VpLVRtq
IF1qn8jN9o6HxKliqsekw94rOcRrpGzXG1qV0RMxyw3/Ohyzu3yOPfbLTpaTy1UMIljy3F6Y5nR9
MzTtcBl2YcefiVcIvKQnz9zOQzVdqbBWLtkYxd2m1jzn0iiS6XPJh0uVE24YCmejMcjtq8yRUFi8
otYab4okCBVJPA42TrOABnIEqkqbZZwW1ZQaD73sXodaVQIWIkFcuxypzjy3ZTw9G0UTdkFkd8oz
QcPxQ1El9+qE2XeVRZAW2fmY7bXeNuOV1qgzOH6dVtBJlhf4lixNoVeget4MagygMmfaRreqtZ6P
rN9J6ckuaIxJXk3e4HxvaZkDlGLn+bUclkiOucoQ8PdmBPc+NwpgJVoPtA+aWRdhA++LguzmQe1O
5Vg0gncR6QF1c6sB4mUX+bnXFDl4R57FE1Uz4H1FWlakbhG9EiScu0xfpqhQA43U0/3A5DkFk1lm
l41hhgAvqfreRebkMbuOY0sJl55ctBI2nZStl+jnapjkj+R6aRexHCmuMOWoBANWPEK6Ir2gCma5
zWWZKdRDPKOa2QpVfBEloWV6kE8ipSwKoQliGb7AK1sxje9mL4gnJ/hQQgsbCvuKsxZ7/EqFtkZz
1shedFNm3xQ7ihM67UbHC41Eg1vNTvfekVHibDg61wt2FGYPsZophmRW09mlqhOR+IrR1UQyoU4U
cIeiBiQiWwdAqSPCUyNvh9TnoNgYq4puLmIMtvrWCuATDWKA2+LzZIrTcILBcN5H+DLX0YB+nA2d
yFDMo+mFkEj0ISRXJsvbsdYdsTMjAKBNHOaSV1QzHgZR4Dkx8KOU+1h1bLLdstDa5FFm3VWG0ODF
EmSpcMvCaUsQaNf7sVfrL4L2/cVS0eQhADalCi3qcWupYZSdZOg3+JITW6N5kFvFjdWqzktDe0Ai
zhrDO2CJxHfCX6Lywa2n/tiVfdRurDwWW14ft9kMtUpCJfF54ew3acjqFGOTXQ85HIKVx2O9Gueu
vramaSqC3BHjbccUeq/PhuDbSbXusaGGuhf9RJHNBnFnBbkcqjtvqF1WLC0EBpFlFIFXOFK08ygr
MTq0ap98ccw5vKtzScl8hhr4bIiccpmXxuZNmJncN0hjwxc6mso34QBc/6HX+63d56f6pbzpmpeX
7vxL/W/Ljz5XNRMyKsfXZLF//unT8NJ0ffPyF/7D9i+bvvz2pSPG+PhnDv4K0sn+/G2CL92Xgz+s
X/d6Vz0P4/ql7fMfw0Uv1fJf/k//zz93jLeyfvnbX798KzgxJOR2Jc/d4WYSO+oHO9C///s7P/Hn
9tNkI0kElKmqKEFoBxvYGP7cfiK+WowGwPkN1bYXq8l/bT/1PxZ7KpIttpgWqubFpPwP7ZX3h0tQ
CvM0tWRM2oi4j2LcfhXrdiQMhBD+6lkjSklHs4cT6FB3NUB54sOhReHqtBhlR8cCGkG3fnNHLn9s
Zd+Gxx3pmH+MYrDHxs9FwMsxSIlNSw2pkKhr+E3eOuwVpodyyp/YqIgAwrvyAQbk56tCwszdc1Xk
9Ki1ubFv1WS5NuN5nNiC9I0H7s0dJ/yVg/bjEziIyHt7Ve+NQhQdnjGEnjymRdP2RrPGupKkjYrw
IjVj/QFLZbHr6mkOfvfeWZxBEOCSueWSC3WkqWww5Med4zVUI8zYYVajtwttxLJIEfMkdFCN0uPt
r8dcnvqbAwnPC3HKopxWiRiAw8bb9/bKvNIQxEfKhs56qe9VRUBSpqmE8Ne1P7i8d4ZCKIrEkE9j
sZgfyWQp/aoVjVWGyod6NXjlvKnh8lHwLPIP1Kk/v4V4XpdDG0esxdZx9FZYtV26SklELwqXdAcw
2t7aVtqdAXDxPo3ApH8IVX/n/TgY7+guyg6Jgz0skcClRim90MJaWaeDnXwwznu30EK2T2gKl8cJ
8vBp0VKdZVJZTP6cHwefGLtUBl3Sz0+QN8UHg713E18pWKShqZjnjwbzBAk8bSrJe5V6FvRDo1/E
NvZBy3QlfZrfj7VzLSInoTKhGeUf7eUjfPORDWaPkiOhJazlPW1sL9XXSac7qwiHye9/zzbwJ/IL
bE7idMSOh0oUAuw0hooJlDMb9hcsGNEHL/xyg46+rYNRlqf59oI4hDctLX96ttWnOHaiEzeT4h5V
vHk2mpm4p5v3+bc/54Mhj8S1mmJZmTLRJZeNSu2XXc1Fm84g3eFA3v56qOUe/XR15EW6aMyXYJKj
z5k6Y9zMCt3EGqXkZVbVNO9d4nT+hVF42fmYUSyhrj+8h6EVmiL2aMVXLcdoY6rsTTJU9smvR3nv
VUcywMK8rLZEeB2OQi4HkhxhC7qA1Ih8l/ClfW4X4feibuNbj/mq++Djeu9L5tYxHRJDYv+U9pRy
jGwSG7cAFXP7hFzRRwrCX0lXcNa/vrT3HhOMDVVfVi78MUdvBL4SEk8spow4RE84Fi07/VzrPvig
jk2rrCN025biG0l8LCTHNu5YcZM+t0oaxhwwsXEbo28Re72u6zo6KcfKWNW2dRISkIFVvYMbLwbg
9rNqfpS98vP1YjYiPVTXsScsy9vho/QSsNTDwCqjoc20EVYB2N/FRl98ZCTXlkn98ANYCIjsdQCC
WRaS7MORJkR0sUY44CpO4oyYBn3YCFEbt9XQnEe2Mu0bUCNrrNAaghZ4/PjBAag6fqd13q4nP/CD
rdDP082i3+eL9MhnU/HSH/4+IwUQmmYTHTTVHQ0KQl4BqrUbI2TbaqTXeEEG+7rtu+IjP+27IyPq
Z/eK9YQNxeHIcqi9ORLMOmOMrr+Pct0f0RYDR4hW0nus0vGjrKmfnzLX+mbEow9W6sYEuJy1iX6I
6zdVmvkz+Hn/d78dRuEBc+Mo/RIAfHhdrjOWBjtKanuS5HfFA3E8mEiZfz3Kz5MPo9i4NkjFRQxz
bEEtK5L0WgeyVBZ59nUFd3htLJwrtc+RkSXNvPn1eO89LV7Z5cxBuvAPg8abZQlo5gzhlWXJTkcT
XLlwlVM9VGkZu0V7rg/S6wKME5Q0/nfjuod30+5BnIjKFKuc2vJpStr5Dib1fA7svzmlEmWiz0m1
D6a/927ustskYZUNPOFZh4NOtVtwWgaenSWa9RmS89SvdW9AFVJ6YMNjKHAPv77Mn2d2LN/g3zBJ
s7Mm1+5wxB5oe2m1Eb25kCxeW4gmgP82rJQSpeOvh3rnK7DAzPHyWDDSAA4dDpUBu89G28TrNfb5
Ws1mxMSoaD/YTL83ykK04wgKrotl6HAU/P52O2Fbhk9NWr1vJE5mw3xtZvn7z8p6O9DR1F1K2gqm
Tu9AceoRgjhQkCx1ruiLL/LTj9hyy805nL6XczW9IN4ObDF0dg52Z3zHqNPjuSadU233sasUJ1VZ
qPuqsNx17djD7TTS7VwVciRs/NcP7p1PEPeySWeJfhPOq6MH52STO2cdq/+sdN5NLiz9E8lBCHd1
S+yIm6V8X8cUGX896jtv5hJXxwrBNoD3Rj+8Ys4kdmdotCosDWV7TXuIEnmKqElFffDrod67wNez
Mn0u8DXHfS63bmVrRjSolbgaTm2qnbuCXLB9Ynr6tgsdMg9y0f52bCgGTKTlODBZiSx2AIcXSHtZ
n7uOUY0e5QHy9MRdwojavVUZ/cW0ULFLF2GxwPnwwRP96SNZFl32caTv0Smkcns4NPjqshaCGSWi
HY++sTQ2uuYMvx30hmIWmyned/gIP80tTTgZzTjzzs5Jp6HX6wlW5oibbw2qqh/gK967ImYXtp/E
wzPg0fdBYCS20bqjjwhuGvFUr8xPA+D/jxi5P72V3LmF/cEjozLACfDwztGqqt1RRcQOx0gGbS3N
U5xkiCmmvv1g5XtvKAgvJnKi14X2aKhuhKpSFQVDCSRFlD2UoJ4lgU6q3P76/X/v5rEX4hPQLPYN
x/hIUbhxMulozhpTxS2hsNeNx1isf3uUZZnh8+LmqYs182AKayMn9ki9ZAqzsNupdrv4HBHX/XqU
d+4aG+qlnscYkAKOpg2poXVLW6QqkODZXDJRrfGnpVehiObHf2GoZbrwsNWz1iy/yputiaMXIlai
bInb6sNNlxHgkxn0HCiJfMC+fOcB4Xf950hH+4KykiKcZVqvPHu4R7JqrLHU1B+8b8tfcrDEwMSg
PMkw6BTgMB/dOQ2JZFFBWUADXalnIp0EZsWx2nnopedVNU7Tya/v3yJj+HlETdfhadGmhWx3eANn
kaf5KBjRjDxuoNBQkZVl5ofegGQztsIYfeYQrZH7eCfQ5fXvilT2rVXWm9gYs+tf/zrv3WQe5MI1
pz6LMfnwt4nKnO5wyJuDyIgefK2QK+KWL78/CE5BhBUUj3hvjm4yUT0zTEe6HlPS6IkvRwBKQUvA
xm+SyijKslfwILcYsAQWL/Xh1YRmBqdU8nKWKaptyF72irDSDQzYbdkp8oOv7r17B0yUlwfCI7CE
o7mqn1oQekOF+6KzwtNskGJXM4sGv3/ziCqFZmGzbpFyf3hNTu40GD+ZEdO2aM6qPi7Wk2Ukv7uD
BAe2MHuwpFOEQIZzOAryPyXDb73sU534IsdcgkTain+3VPQ6CrVKVi0OU8cB2u48KJ2yvPtZYhTn
hZxwPIWl+8Gc+3OlYxkGCLgFvxlCx2tZ4M0cVdhzZamFA92sD5MzRSIQ0US+r0YiDW11QHViXdf0
N9cidsJT6t1726vrD9aXn/ZX/BIw+QzaBAtF9/iQMQscyl2E0mW2B50U4Cluy0tzstThzOpHBHnT
6OXJDtGabn7wYr4zqbFJX4RU0CXYZh0tOgSoWASQeWSREstOC1klAmqskzPDjExULSH/+9vvKIsP
s8cCx+GmH38JujMVs8osYqLEXI2t0WycYv7oS/h5lSM4GgYoxOWFnXB8HKDmHE2Nw2O14yTC9eFU
O1nOzs5E0P3BK/TzHWQoFzQJnijkaObyq7x5g5gr8R9Z3MEqsxIlkBVaf2IJY+3Oaw3rW0zARfjB
d75s1g5XooVHzvEXKggtymM0ZpwJa6K9D/m2LJSA1FzrXvTj/FX0Th5oWql/pQwyndaxUW2LRm+f
fv0If35d4bCwMYAqA4CCDuThFZMuT/rpiPxEhRwb5Gj2SXl4skoKVIIMvlVvfrSr/Hn6XEbk0Eo3
jSrr8bm/HZM00TWk1KWic5YUfb/lU/kIXPfOS0NoHPtJNmGvXIvD6wKu7mCuBrOi5KHAX5rJzvdC
Lb4FGWWkH3wH7uv55e1TpLgGyouSLXM1Gdnq0W3UBmjcrUHGklmYubLtma5f0Kgqpd/LtL2Z1NDT
VpOnS28tJ1fWZ6St4iRlew9XgU5ZJYJZ8Rqit/h+CgQ9qX5G708ZfHaweKkItKmGHeyGPDsZQ/qd
+9FFoL5xjVZW2yUHlTSmNEMOw0sto32I8CXfESOgVYHTaVG8RRgfW9ulmdSftMLry8vYzNt6Z2Rh
5hDphw2eALe4cYNJhNpjzeKT+U0OSNhvx8pFtOIsuWOZTSLmNcJxjBxYJ6L2CtyDlgcusjUNrToQ
gPDUHUNyvtwim+SiIU/J7RmU7FtRhmTS6KPDXkfFHTDv0TpBFzDFQAqW4GkiG2dqGwKnzTroEu0C
v0h14soid0KNZ7cR6W9QozgeSOraCRqtqmmQxQ9ps81bLZtIXMdMjHRkSrGLIJ9Bl9f37AEgEamo
x218t/wKkAZOCCeckPWNyLj8iizRF+JgjcdpLsgm6Gt2coEZFxp6Q7fAkE3Wylic0B7TeYRzRS2E
6DxSpicy0wdfiSlkbAYKg+AUBi+J9r0zORZ72JGwN3VEOrbhCRToCtVZQWwUNZG7ISiLlMtsnG17
bZN+VqxoPAAI0vn2q3U/VIm70ouiwX+1IpeOWLn5NWJufo2bM1+j5+A8YKmLEKCh9bZC4ulynHtL
sGw4tDC9mjLFDtO2ue+2FRsisaTcob6HQWG8ht9plTYShBdH3RBwgE52/Tgp8ozwL+5OCwQGzV8p
ieT13DJ5SAQZe8VodriX0nyWm+Q1hg9RVvilI2YT63hFxG2Qvob2Yfo192kalt8dIZs7uaT7xbNK
0J/ECRH7hlY6+GAyDx4H3mCx7rqmfcb3gQuBsmz+ZFuSk3tV6t7FnGnVRZa7sXEiG2MuAJZ2Re43
1msMIcs+BznLLffza1AhvtP4kZxo4guHfnS+SjfNP4/I9c/KJeeweI08jF/jDwnKnjgCLKGIQmrj
pUmFtQpcLSQ2UZcivc8qz5FBbpGriF1wIAQMtz3gwyV50XAMBPvEC6dXqIslJobXmMbuNbKx9gi0
QAk5NPbKeo11HAoSU0n5I+1xAnnx3ZoHFecoluiz8DUYsomn1EHF5OCWHo2xyDbWkiOJwwfrWdYt
8ZJFN5cnUL/L+GZ4DaB00lZP0NYvwZT0ao3viVdQsjJfoyuVSvS4ZJ0FaNKZfXudvwZdcvjRr2wr
Eg+JMUD86iHlytWsaUW9FpEgLBOfDF5ENVXQvPGl5NhRa7U5M5aUzbJbAjcTVSF8U0kV7XwySvUl
m90Rgf7cNM1nxHbe9IWduFWcxmHaRZupAD+4Vwr0hWeKhVb2Ws+SXJxpaWWFl8KEynsWqV39eTY1
Gd9HpSegV3QAB290QXDshifkOlfCYercmmGdwblUy9Hed4nSENLGd4JuS7XD+bQcdH0KBOK0ft9U
njUGpACRixeS482OOs/sSNux6EzNCdLHyN5kwonDE6EU4UtqhKMaZBguwkA1oA1sHJKAMYTqbUKn
KEom72uvlRo+NNZHJdqGGh7HK2TsurlXUnbrGy80U2AtU1/OOw9iQ31J+GRhf15eBOMlMQfMPmAS
Gx3VpFqP6nSVsUEsHwryltObUs5i3rMCmNT5zSnMs/swcjsVu63X9tANRMrihv/UaqJJ2+KrrEMQ
A6ObNt+RjUYEOlpmbpwmEzwfLBvqq/7bytLsUrouMNrKHbLxk6lFRgh0RCG+VcXl2wTRYHBRlW7m
+IzNqJn08xb9b4l1peg9psiqtq9+ZNxxtUzEbFZ0byWWFEt/6OOSvW3aVQ9mhrN6I41MzvdZH0XE
HNcFS4dKbY9iYxxl/bmt4X25mTh96OYK7oTunjWZOhgb4iDc0W9Mr2g+zW5L43fICmVa124S2r7K
nRN+z5HpNjKc6ZPqjPWNEQILoWgKvHVVFa39TF49O5cxtCijkuSUV75ESPA4GzNUqAjh/JXXOY1c
sZGvMU0Pql6eQSYctECJbbcgQVVTLlNK+0qQuT2GO5noypJVGY8PsUKPcN0tR791FubRRa6I9CKm
xKji9avSz4WTh0Aw86l5mfhpdM9FRalOtb2Y+2OieeQsIhBfmSA5v1BoyZvzuXXwUxGTjrLacGp6
wKzVveUjbfU+yTTVvF2paO51leuRuoc/06PIVD35yRog2a70KWaSdupscPehKyDpoPYuv6GIRYw5
lqX4lsrI/BSRkdoGyL97QhyH2SJ1eKyK+7jUbRLeQ1F9zlETiw30r+qmUqzEWMHoI2Yt96L8UnPk
hEu0B1yFDmluYUInGoJLJ9WLyne6PntBeBJLP83dYWRLV3U2ynLYK0/IyVv8nDISF15YxjirlATJ
bmo6TuqrbAjvOOxCpcfHq99gxcSbn8WvHmgvyvK12evwNowMeMLgzBPhu5WInsB2IEZlUplP7VnW
jyYHHxKgChl5PjE+zePsaso93jgsGvZsYFMNrbn7NmidcW3oYvo21ln8TAnEu8FXZDwaIkpMf4wj
5bvRjf0lRY38azeQvIuh2sJTWs+kWUlj8J49BVPSCY8seYSEMn9txirbo7pF5T+YbvvNm6fqmeZP
PPqm1CGms+0xYKJaCSQeUBECg9zkjSeqtJz7hDxVbZ33WmUCIqgUZZ0llQvryBhzXpKunPV17Lq9
stJDEr1PCF9Mb5OxsszVFFXW17az+mhTpngK/Kr30EYreMOIvu6FioGena8T0N9KLiwigcetiQA6
9mPwOFBl1CjDyT9L2rNU4CF6sF7l3qqPLAI5aQjmwxPZnrnwlURai7xZ2qNGxrgO2GdFjheq6bRN
608holt9hb65GvwuDJFR50DGnQAGTNyvbE8W/cpMHXY/NukeX7yRRSFCVw3k3GmBF8y6moQneWYZ
8Uqfk/RJWM40kjtM8jGUpjLZWBamuTUJ1Znu15FbbFIz5x8NkZACWyb28GSkWnTfZGw2tujOR50P
JBxP834aHwg59yrf0/L6E6nkLvlPpMZjjWh7u9sYVatyxsPB5oGDbyuJ9Nq2MmK3NAwSMX0naz33
BfLhtFdXKenC7lWRRanmj7aSdqticuqWXZplX/YKN2ZnOcQTEzhteJFvaqnzOEXxUlNU8bdciFnV
t1WUFtauMvIp5McVc0CU3GvzyuDEhcYY6EWE4T8x8w3LnvJJt8OQUNN4bPcazCnzJB3thQ0A4hSc
EjGxKwc36GMcCUcLjAwCHbSUwu4QbbPuBraTsAkKy9I59fLUMU8SCosQt9R4yvFneM2XzhzScTN4
jT6v4jae6QB5ZfYiLQGKgY1idGVMqvPFVBa3BwLTcAxsGuOf5y4ygZiVltpt0jhJDE4BWXcBWyb6
POpIv1fdHKk3RcZ8DDRIMlWpXT9YvpjLipfNakS4wk9q3cdT7BCyYaTWWeOW2VUZIiD0Y2OIrmcn
YvdbK2I6nYaQX2jIozRDPdHFD0SGebiHKxNEFBoiDwVtPCWXUuj605SQzAYipBtuOtWImL5dL038
MhzweY6zZt41uiqfMMCEgPScwah921OIowbzkmursF/m1MkYKaTog6eeTa4t4uQZKEqN1oDNabwq
CU3jxGYSWoApM8Sk7/ZY4csyXDKYY1fHq88D8jamXeIDywYC0wPuZHHN4Vg8ZyrHpNVIuKLYyNpu
263n5NiKbbckprfuU4MdS9PkcgPljjaF3Ur9miDniOODnHp34wA+23FZ3fdcN8SDNpMLJKsUM//c
OdWLWqrzV7d1SNVBtmdOgRE7No74tI7WFQVovkYddQPL+GRG6zZpvCtNmsat3s1MDuw0EjNAOmnd
NtJlD9KlWhPApguvVNkCqTHCqth6HVaNc5BqYeP3AJcu6oxTLFwILdnJ3HOjbSZtzp2prNlMTnGI
6QbqjrYPDRSLqwIPCq+G29mXYzw5d/hlDcfXu7p8GdR0vOmrznsgCDyOade0w2ka56Qxy9J0bvSk
nr7bWdqzWHahfTWwdz+X4OUoROl8rr2uTLGvcha6IxgVhVpGM+BqAjEp/AQc2csct/P1gMG3BYAX
ygf0tp3he3o23ACHH5/0whunwGXXsnPnsHH3rIDSXbEQ6fhxOTRWJ61SsWzNBKrrIIIyCCVuiTfM
J2aluk3nLBVbrA/UpbsaGepKz700XOlJMrgQn/rwcygncR2Z0Wyixx5KGUjEuWQwzHoY+q7dlPPK
JOEnx/pq2o3v8qlEvJ/ptMmb2HvSvTJRVkUsjW47xYl3hhSsjr/mpPDaG0hVS5HAzctrhMoojbI2
wcNPtY6w7wbW27h2oVV6ayQ2HpYc+AHm7EnfpdM/zL3f5kOpFoh3MrbjOxE64Te2w+l4rsx932yn
bAibE0OxLXHDftpTaXR2qb1BKWrqaxxPyNnB+MTbYooU+dCPPZ6lyENH40s1pvQJdKcDl9Np6rDj
OF7D/FOs4bapRj1Z87IZoZ+HYNR9Yjo5bOUJ9IpLNdNsZTVXERG6Wa5FaUDZ34ogKFSV2LR2Vdqn
hWuylKKMtfozvXYK3SfcE9CNA+LjRVXaOfetShEPPbQrhw2D63GGgT7wyE47uyU1F7pPYvIlr0un
YX8IPbe4t6cBD6dIW5njx59ZWdUwY5ssyUZJOGlN1dNo6DCvnBgBGJ9C6d7bOCXzYEk178HXxJN5
6s19DcfHMwlVFK7MdZzsziAwoBXhN/iEUJZyc3TARaVluMOQGsqV51lpc6qNSzORfMbU8jmCY2AD
wB9/bvUeK2eV0C1ggWE9dwNaOylUFyZybTZcUiprG1BgCZdmHrP2DnRGWu5ea4i/ZUM5T54B4Vbf
u2M7yYEh5f+wBWUxGLwprS4mlz/NKxdfCswr1wkQ4Je/7L+UL0lTHXhRfvzoP7wogIAXDSTxlyjL
CKajPvqnF8U0/3iV6VG0xMtOrg/l6X9YoXUVmzRNNICSi5iB/c4/zSi68QfnaLQqDv0vgJb83L/u
RqEpTruavoXm0BilDn5U1JdM46kjgAB4C9gOMfscuKE9f9APParPYqXA60LdGTWWhshgubdvK+02
cvIwzs2Z3WpHm8bU4lWhNUkQR/Ij88ZRwXkZytFpuL52KCAoH3XScle3J32IsOP2Ij6tvLIkYsvI
V2+e9uWPWu9bI8pRIf11FIq/Jk9oScU+1hUwSWYFOCvpd6Rvf+LwDCNzyFtflXrxKa2L4g57oXb5
60HfuYtgmjGuv6pKeQUO7yLQPyoUtYndT4HfOGhUrJBBFldap+Q/PvL/1kihL5LKNyXu5QIXLrSO
Ol/F6XD8XtSz3cweRmLfKYfS85Msb++g02UEI0jcnZygsYJqWd1+Lt2CjbxrteO5LBCMrcDltsoq
mtPiMk/lf7J3XsuRI9cW/SJMwCPxWiiUJavo3QuCTbLhTcIDX38XaqSraY7uTCjuqxShiG5OswxM
4uQ5e68dPFltAeqvdFMnxTeHHx3kla3fTk2kkb1ExQIntI4rsehlx7u/PmTfM5D4HsYitNLQzsCG
4/+/HjOzVJKidZzRG9C2BKtemyf7hemK0T7WYRreaaKHLhyBwbhL06E0oUfgU97SlgZbSmOnf6/T
av4IG5fVVk5Fdj23wUJNqQyoXH/9YZe74NdjjjiSa4qxEIHueM1+/awKHWPAYRUzbWywBzvFJqsM
Rf4KD5Tt+1Cx4Z8qPWAHBPLrr9/6z5eWwYlmNuwu9yipbd/eWkI1ohs6enUr3iRpB4+t1qnntOz+
Llbp37zTEmiJrYQgUHCm375k2Fg0RV2dtipWWLIHiByFwpXQNJnN6euvv9Wf1wKiEnVWuEWVYP8p
Wzl01DEvURZ5zjhlfluPnyr8nr8Zqn+PHVguMUKxUJzhGUTX990vw7BJGsnc9V6g4GQfe8zZSQ6S
G2hEfsATVPo0iTK2Uol5zWA++7LySVv/9Te9xNJ/u3YIVkAMwerHc+P7YHGa+yEsZcuOXFTKQKmt
BkdLkd1mxry+yQM7WedBaPudhiSdBldxMFMVA/1gjsabEQm6bXVT7qQo6OCWIa3BNqitq1YrkNH9
9Wf9N2dlWTNB2ZOpgVvwm5o7t6LcKOlLeVQY3Qr4JZ8vd4zdf/4uaMx46iIYQbmxXId/GO6GQ68D
ik96bwQvtapKtvBWOal/c9y/jZA598vQEe/eIkQwIWH++i4pfU+ndTFZxENVXGdmo63pTyPAb7C0
590YbP76WxHFxSv+eqJx4JBaZCNuXiqLb/ePOroO/eNa9VJZQbwz3JQ6Hz5W82TAHIshPDc6doOS
wa5nkJP8EHWZ7Jk6Gix/aeeKZyOKEF8nnR39sJskctcDzaPXWSmgkU3zOA4eqdXdEyuBcteObv2s
d1XCL6AT3aVuZ35NXZ+xm0sLN9/A7iD2x500GJIIaOphxQOMgUrgqtlNSmQaeGTmla9KOQk6lX3f
PPB4XPZqVak+SzbJ5CiKPgaumom7ogRLQlUN9yIPBjNaUcxPd7TkRbWuZWc/jI0qWw/BMKgEeFqK
vgIhZG7zOTRxu4CuqrZ9PgwL+zNwaXtoRf+qFyoxgwlJf0c1qXjaxKljTWspdS7taGTEx45LVC+g
QZonhj0NJX7SsT9r7NZEoE5E+rUxLWiByuCfycHJ2fopjMVo0o3hsbOSTCHNYG66Z3eaVOnbjpK8
2kXZa17FwP/JzUJLXxexMO+yydF+mhB5w7Wbd2qzBio1P4VZPeRAPTJ6N5NdTPUhLEz1XlNgifiY
u2SAJFnXdDqyA6baYiAREhl4Lm7THso7RzDsPuvUmMGjubnmrLu5104FOPoQ2mrVvkqngiGQCqWr
j7XdK82mNrqovArDqTZZils12ZdaZZcMksw8ix9B0KvKKiJQLfG6tpAI91n9tsocTiqbJAtldBLA
8vBUo9AO9C1h0E6VM+7bIhsQZGn1dO2aDAQ3QesEhDtIZnu+lUD385mLTB+R40yqp2TVNHiQNdIE
huoA46IfI41uWxkVt9zeTn3SJrdLABHgpzPWvT1N7bsJB6a4SWA4mJjuza62gJiYcti7hRztY9rK
AKR3LRmzdb0yeMTaQFS1sV5LcLhRmPmxpTSYr2NkEp6DSTWB3hLTjWmguj5a6oyCExK9467jrqVl
MM1JBrg8saIfPL6ILxjVno1j0wcI9gIseJ0/0Gh/TgObe60HS/Nes2P+0aYWYwq4LtySqNedp65x
Z+2qq6foRzNCyuubJLu3VaI0yllC0YjwwHxSKZcxzaC2VH1diwRSptnlmGb9XLKchXO9YvpOf96Y
O/UKY5vOjzGVg66pmCc7TaiKjQKgmD8HNdcmkC7bXYcmNwaNEZnRRJ0s96aij9z688zcbluEIMDn
Fk1CIER8gvdfvoi5mj71PAF/mtbT9J5LM9FWBHEoitcXNfOWmfyEpyyLtWepQ81bw3WKc7+PgVN6
IbPsZA21l7AuFezmCV+BcSh7tQfzNpFysYoIr0mwKUXprZkA16M7ayS3TalLqwBKJuXVcsbKzRSH
qnKarCyND3iB8hgLkNEWfjhME/WokUJVSQI3P1elDfCelW7ZyEMx5QLOVEi5CfSJd2UyjMdcNehR
V/hRW09HlUnn3GpN1wNVUJ4JT+5g6xpt55cVIohTSL2XeW7MsMUjt5cxTjPLdGuCR/igtwR/m2Za
OpO31nQ3dZEPi8IycM4y1WkVhpmTqztB+2rwujBwxxuJu/GJ/jRUGOQCc3TI+7DaFXA4a1rDgwbH
M6rHc2IwWgZt0xrzZpzCcvSycXTuRQ1r/dguGQ2rVmfyu9C/ZbDmLJmNT7fBJpGkY3ugEVb/kHcO
valBDJS3DnLebGMyMfYnmRb2elDq/KYZwpCLOq+S2s/jAdbVJJrRa8Yqu+7apnrXjbYpaRHp3f1k
ThV9WXPKnjRMBD3d5jZnbqhZ+Y+I7/2hdnUJUilqyg8pVKCjFXsw+sRMElYodrI3cxoZNkcRs1aP
YFWQNFOR8uB0O2QuMGBmdC8auDFYUk0BgytxhvDUOV3R+VqVOHcKLf+PmD5atbGjAADTVNeAOKDp
OKitpQasKGRkfANKSRHbAUTTg+xrF/TV3FvJ2qTwFCvLtGhDgWKB4ZMbNWTIorNPpaNpr1MwDjzI
RJu63l8/s/9c7yBmAyiAzozHOVmsv9YI+qQ22awjobZnlCJJqcz7YGzHv3mXP28e0CnpKAJ1cvLg
F3yr4EsWyUjnBHqOAnZDVRt3n+l6sqMpofgCHiccphHtSEBP7Pe3/m9H6B8tnwvhDsU9J+7/xuIt
HaFt/V7QFSId6lTWLZuVr38R8n7//X8S8ozfyFxaNnkm+z04FpzNf7SFIORZ2LtczM+//xdKyn+2
hfgttOTo/3FpcIovVldq5DaCrGf/BscOmQXtJjoEiO3+o3yobzpFmsD0l3j4Adojy5Te0K/XLKzH
hnLIfusWEHWp3EJQyAEnl5QgbIdWdQVsHUTq3+wMvnVVfn/X5WahxYHE+3tOnNJZiDJG+23sDm4k
rvLe10saw+xd5vnlDyfn3zRwaGT8Wkiz01Wx6Fr05OgKsIH71ijSe9VKEfjBQyrLSfHkhWNGqFWi
+P2CN5NDbm1R0+fSJwekdbzmwkKLmoWLxsMucs9uvfDSCJeJb9tUVx6HC09tvrDV0KQFz9WFuKZc
6GsMnbKB1bVNM8++ENrGGojXlqhlln9nMrLWty5Et26Bu1E1IZ9LF+RbcqG/aSEguDIv+24vFjyc
UerMdssLNQ7WW/mzvLDkhroexNMYSUN6NMSFihoobm7tC4WuuBDpggVOZ5a0GlbuhVlHuhP8OvPC
susvXDsAFwViD61DF1sv6Ltl0gFkVlqqP8ZJvhYQqu0Fo5qfFH1h5+mC0EfIiaEBlCKIQRnWObBr
30TGAws4hOR5pPx3tJVqJCZFpWJO1mFIDYuqfHRISGgEUzkXzvcptuCgAnwzTviRwK8BQ7wzq/Cl
CSmFqW8SUgNyqzAaCg5a+swLFdixE7F/YtXUdcAkN2iZIyqIlOHRj/R8QPhr1ugTShnW61xMSyyq
OtbNVjPh10Es6+myl5rWtXczyYhbrHilcjajzPkcY4D8mDSmtgOzhCB8U5MEEh4NE1jk3pAOqSzm
LMqXshPJl8QvMKI+SCrb14F1YDUvECvALS14UKEuJHTGBfK4zjrFhV5jxfXaHeNo2OhGXaTnVjBI
8HCuqkxlgoJZOqi1BHy/nJNyiwCikmsatkVyUJjvEpA0mzH5tSMjoeJW9kPC+EHrow98tTBCklat
gg1NC+YxkZ0nHMLJJRqE4BWKFy4xQMcmr6jHNjmugN7y9zZsFz93mzgnIrKShyKrBncbG4N+cCsx
c8x7oQ5epMXJT/QXCPaEPhXEinRhMqNLCdlcdk5g7E0pKBcx5zbRlsZh+xBBjLU2juy7I5C71l2O
GjI0hjfKVWvrSrLuTYoPoN5zS1xMFTU3Uhuqd0h+5OfA0IA/MpNY8d4bU3tH+HH4VI5T9AFdvLtq
L/w5hQttQbLj+PfCBVHXWUtUgm4D0We8v5DstAvVbqoXwh3z4Zx/fiHfadM8jCvyCSDiuW2rW9ux
gZSz0hqgecz72rvsQtKDxQh1Uh/TJ9lbERxLkHvo1ZV2LeQwfvQXJB8SqJssdWgFVQWKlhXzTfY2
Dmh8sYKKPh0SaUXLZ+nBF4YX8l8dTa5FKg+RPisrwkINyBzjCbBpk/oW5874Ui4owQ7ZWLuZF8Ag
/kktgQTYwR0MLgxC3e7ar64GTDgP7Bc3GK3dL8ctYYUqlpneI4oR46ov0/QRRiiUwwGlwitRe2m1
MaBf2L4Lr74FpbDwEbMsah7jCzWxvBAUx4z7FcENbHCf9Dcoi71lTD/JJArQB8TttXXhMTrzTFT7
sGAa1QXYWCzoxvlCcQzHAKKjpCKF7ki9YqwxMWiA3BcApH1hQRJjNhxhxOf5mi1YFfjNhRzJ5ByK
JPvwMEIxLUzliAIJ0mS8QCcvD4f/FjR/KEjoi1mUFv93QXP/VYdx9UsR84/f+WcRY/9m0FnDIwi/
ABLSArr4VxGj00tmOILjDHmg/YfZlvubtTxwKTB46OIIWDpz/yxiNO03izxkXcVRs7TB1f8PaY1+
Px9r4VyBFQbkpX8rYkhjd4Uc8UqCfkXQXKevTJRf/3BM/k0d8a24/9N7fGsAmnRvEgtf9SqI2W6H
DDV8pEd/F6B7GQb+se13eR/Mbg5fg6GWaX0r77GUBg4+SXYoaVZo7BPdEimlXSifRSnyt66uUBbH
0IVeedzbi+BnIC07G/V2WmMI0AoviPJO2cHUz8vrZNIj7IZ2N7/oop4Ssnqy9KfrSm26wwgsJ3+k
nU6OXW8IfFwyc4rXZJhFuA9Rgc4Aa2UprwbwoblXuBZjdHLJFKltFcCNIGaEVAuP5Jn0mVRr5G2I
SSimJov2x26IyIahbafAosUlJjsvIP4wXcGHIpqgjiwj22lG3tYrCDf0HU1DljQstNn8qFCtYFIh
4hd1Grv+B3ScBFEYtTaqDJicUj/2HDsSiWypfaph4qD1ctA+1ADKbxN1JkStVWUlvdzRutpDJ6k8
Q0tF2IgaE3AXMp5iPhS20lLK9DlCoygFurXq6BaNNCPR6q5dd5infR8nw0vpAmD1JIyze9J6kr1u
jW22it3ZvYawZktv0CKrZ5su8n1fpXD1c6MxnrSqQsI8W4K0naJvSDmY6Em92w2+AOJMniNy3kg5
c+OY1KPyHdlq+6CBZA49R6rjfdMoc7ZFHx1RVZANQyTHRMvYB5inF7ipuRtWjaNEJ4s3z7yhXzJS
Sduh16ESFzDnkwVAb5qGU9TJcLgyRJNbeBpioj8ZkqVPMRYIUkwqJ3xqJ+I8V9pUdxRouWk8j+jz
0hUKw/ReR1v/FJDHhA5tSvSBdho5mKR3wpxFXDMfjDZQnqvczbhex8YkncBUXfT+dM1WTd5mCUCi
bL41hzkluWIw62QVWowHqMXNAEuANmmZ1zB9uW9ypXsnzMORnjZqRrGyu978SVOLzmJJADc0UcTo
NGFp7gmUkg120KZDBtS2eRtdYeWnn6aWqAc12tq3gyUapMZabJ8mh4QoMKg0kI8BSrV01fOITLyx
U7oPMIY43f77bPlO8DQWQcMf1tE/ySceyo93tsZF88ct8j9+65/KCes3dp5s22i+gK6AYfm/TxfS
ldk367ZgSWADx9L+ry2ytaQr8+hhtLhMMtnC/uHpYvzGIEhd/sdE0EVf8Z8oJ3SGPL9uIQGxqNri
dbZshm7Mf/jOv8yYRgP9d4VzqrQm4oENEeElGIdhg/a33ehhOO9Hk3AibkqRMhIflfARYYd1Hnr2
GUFTm77Dsrmt0gSlXhEWuJSiLxHmM1p3XRxyZkvhijRO+6hW1kImYmHyc+xcGzUe+hcVI/m5rHO5
1hKDVd3qlY/Y1YZ3LAGbsrJuJqdX9/CiyqMMNfdxzMMXLXDGNxK3sAU5RXBnam15IqBEezVDvXsl
rKm+yQQBG2Hw2blKcaXLvCZdIRKbgGHqZx/oPRMbdOCbMSzk2W0I22UXYxwTlPVwryfMUz1s8Rq9
1dohTjpcWW6nnTNMEbuhs9MbY2TtsNF/eK05l5ug6xq4vIF9Ikx3XoXVhB0na+vbqHhzNHjKrdG/
QWYRkqkWMuMqxV2A1J6ks2QEmK3Gz7VKblBmDOHjJFhvI1tFAYxF5ECdSVbgdC5j7I5ET07bQbXI
bKHzTC5UFnvCwdC1HpwEOfCYLJm6qWPwwn2/T4Ku9LOx7z0z62zHq9jVAtzXpFd2geM7QawSBWi0
duAzQeiyj1QKwCYhQswde9Pa3SvjlJxntNzTInUOFOJKGlt5atNhODZRmp97rDIMU1J3F2pstC0m
XOl66qdiUwlRbMqC0aiKyIJFu0tlzU/z7p1+UHZHjELIHMa0fVgkyU44wlfS0a/VobtKkw+t/oHQ
f6ULcgBJ7Nlhkns1h+Z5BtO6yoMnc463aVBsZWDj//kqzeinG6eHnmwXJ9W+1DB/7BJsFiEGscw2
9rFb7EOSBmxDuc5TdQNR4TSV4V2b5kfAAkeZRztGh80Jqaux1ssGhSI4eHmIRSY3UsubtWWy757u
uzjWUbxNym0HPn+Bq1cZfO0mLh6SqBXwhTQGRIm41hWn8BuNx6sodk6Q+nHCdrlWfR5iK6xe21Hv
X7FjbQcpNnr/owvMW8UibNC+M6PnYHrTltBAEfQBpph2GYUaGztuw9OsOT7X4VYt0vWcl5shQ1kd
GzWC1f62sW2Uvi65QZ217QxsMh1quil+Rlq+s9LKb4U82bb95NQ2yY3La1hw5bIWW42O0P/njKI+
cohvdSbCofut7Eptqxpqv5Zu8igrI9kw+3tAp3/VZVPtqSYJW1lq0iRXbkyE+JnlPraxeKRK4pMH
jIBipdpprXptVl8xAaD9DBs2t6OlCeUgZi6ooxC3qH5KXMHKYY+Eg3M7GBmJAqr6VpRudm0nKf5G
uOM0T541N/aNoSBCT9mRq+D1rovrCTVLOes/J6eLthE0QNO6bdXwk7v2GUUviApPhu45N6/n1Pgy
reYuVMPHkR0pYQUN1odCOTcpYvK4K961TEkZeRToncfkLsKXSgBgdg5U/ToQuHJUpO8rJRQ3gRYz
SGHY1djDDRnVt6NlvXajfLZ6COFuplwxeLsH83sUVYuEomhu1TZ7RavP9Zlek972GujFHuOK34V6
4YUlOU99S+jqQJpb3T51uDyJLwCUlWfKD54n7+iEj1qn7zCmPslIPoqY6pKi5S0otILPq69bi636
1IjbToxblxigIe7ObI09CP3yphwRk8ko2Qx4iph2iJLLM+X+nhv1aLc3JLCvi5JY0H7j1DE5lgWB
lC/GKLyung3g6/N7ELDk2MnWJWDMAIvIBdrhydFiT1anyNV2M/kgFOdv/ZBP7y2GDz3Hs5k+VsFR
ZRlU1e7nZLc/yUtY5ZglsVeGTPiD6eco69sqy2nXchnMdXsMss+GdYE98xvRbj9Gw6UdpdzwPOKa
jY4KSBIrwNBgWh55IISQKKFCnqPMPasybmXQfJBl2Gxcu3ie8uEGAtEGK8ejsEcPw+mPucz80tVS
zBsS1bCC0HUaNkYz9F6GFoUE65+dLs7JrD6BrzlJNbrBqbkfZypAhkBrp0qMVddj71SHKN0njbTR
1jMRxjzNkKrA7US/22OLhYw7w2EDKP8xxJKIzniX5wQagdD8tIvgYVSbTwdrwDFPUhT/LhlljGEx
vQb71t4qhLbEAxB9CyaJluYY1mJ7YHKLYyKe91ZxndQEYQzddZhUn2A6Bn6cXI3S5CDnmDBxHqzc
GHwdZAvc80N7iqfyKc6rfWsGvoZvcgWQR+Hai8VZz7kS1BLEI9F/qtSfycFsn1VUkD/HasJ3SaYH
potmNywKnKms1a1aYWSSLPWeTMcTi8yHFmfnNNCUW1o8PlK5pe9pHolwdD0bwqXRWGce5bTiuVcr
8hdJfHmV86dV535gaKu+u6efeyyJWQpqeS9iwmJ77SOJ1GJTdFq3w0tHSMdHUsmaC5FML6JnTcVY
1wFUZkPWB5mP5nnAOLgbmjdCcuRkga/RFhBbv6pb/NkD2756JK97wIrpyhtIY3siI3f6HG6iKPBS
+zVyir1qRxvLmD2SuGC83fSZYPdRHAY9PLvEcfVpSs5gv8qUlwZNfRSdLWufCQaRjIhtkuEwSxz0
ACEDi62Wcf5cncpBXWOoFepNXBBLZWfbyA08o49OavFRmPIV4NsKe4E3jOFVZ2frITKfS1eyFBek
15H9lQ5vNuLwkcpipYU9/ubyFEzgdxpnp+lIuFyDLSAZDE7kMzk+0pKGYRCuTXz4bTWD6UHA1OUv
aWbsu2Yip8+4rpacG9G/NYmLhlshHYsMzdQg60ffFFqAcjy8sqwfSWncqPTe5LAYOp1tWWq3EZeK
YfwkWIWFJTxUKCto0vcY58Qc+rkTvuWo4BP1uZm5dRoScNrsXOf8FuITv2gkYxrsO+ZwaNg7r5KC
ABgNi1wtsN41MY6itHlAQXBIhb4f+9gLMUC7UVlulG6J+pqnXSNMmtJm5+OyKq+pLZlTRCFZh1W0
nPQHnkhri2omylzt6BZOsB0rEtnyZjqblbOxA3czycY64IERm9FwPuw4u2a3SAWrx9CrO3sfzdLr
nfScTdEmV/UnUyUDWETX0OpZEcVKOk11TUb1BjvrqkOVuuohup0EUh4zOpLC97NWKHY8C/HSOphy
eZJwZT0Htcu6ruMHqRG5O5DxTN5J4657oAReOpGe5JnSXPd660UF/7wKsQvLejWgOtPiLdOKbWFp
P5oy9Xs93g+O4yfkDfZOeLZj0iPjwC86HvFEQR8hTXrML06R7POtWjubzAwYOlxws+O6qSZfTsZ1
WQ4HmhJ+AzWUvKA9pZ3PrGnt2rXviOs4U3C8MwgfI19V8N8MGGwNLXglNcrTyuq+wcaqFXiV6D9s
W/Mr0F50gypp1cXjWlE6XDM4y1MnwlqcmbhHiAIPTT8276ruRDVLXzYD92cS0LfT7H63xIMmExN7
o6s3qYXUOxuhT7FfQYq7U+BA5OlTu7Bd6vLKmIXui2xaG2QUxxyQdBL9WuNBubOHh7x9qaZtpd6K
6amfgh18FVzgctNH2ZOCiKTtJs9QGNv0hIgABiBt8kbroKzk6pcwxQ6444rEG0/X0m1ksx8aXiPy
tmdXPBH2vgnFT12r1mMm91qOJzcUzjqK9VXLD2NKenMgXKrvH6SIfEicK7fDeDfTesvGQ5OM6zCN
N9psswjLezLvWp9CGGmBghAtVK+17CF3XxK5p1twsjL7IBgcKaHru3S+WQmyCJ8UOTZxSugU+oTK
0w0yXsuBF60VP6ABxwx+I4rK3NP+lMsJ3dquHm87/qLQOS/mY59Z65morgOu9WbdZO9gil6XZruT
Brlv9vV9sSgv6yW7SYfCEN3kHfUvlJTpPiqDle2cLTe6bjQgInqxsdtpy12wj6p811j1sLdxbHLa
w+KrrqSzC6FHwF1d5TLZT1XAMmKt0im4a9onFDgoPIynNgYnoNUroUECxonzEBixr+J8z2lugWla
AwFRtrU2cBF2w8o09eYqhWEyGe22IXqFy1/wWG3DRxaWW6mqW5eYFiZYDJ5MEmoC3dcx0LkjjqVG
qxoSVfSR4hvDUWAhYYun6UEwbiRw9Bik+bY3aEh2pQkOIwyjg8aYZSbhLzXyEauNAz6hyDeokdZG
iASLUZY3R8LdtfUzoi6/ISEh6TO/R77TNMxAoxOjs4pJwEAxEd4t8egnCwP0ygbQUY8sW/rzHKMm
NJVT2Uzcw4geC+IGcdnQyuQmsxi94sPEwbjqI2TQOoOHNXGr2CISJLXcd8lxCatEw5bMwzqTDCxz
9yTD9MqJvggYQFryo1NeBwKwt2pSbMYIGkBl3RH7dVRduQLc4qNxuidEGMTQHc7FVZC+S/UBw+Mu
4GzF7IdnWZwGcojuS1fPvc7CWD1ZmzrK2VaywiHI9+ty3Gu0YldFOHdfytiyvJSdT4zzcZgICCoV
bZXbfXoOROxZU/DKEGqPpmWtjhScMaFbmuEQzFNlR2c0jo5DtcqA34+IPj+IqIY+3JE1nLFQT1YD
kIRN7DotOox7zK6SZFNbY2D6bC+cJYs8sSempqP8kSFNM3uzJlzSiheFUZ8EJEuSofw0BQBG2xkj
Uhi3X8EgrsKUPPYwTne5FNkuCUyuwEhR2ysccs6+jWIl9fNRVYpdpHVdeIYxXTW3EENHbd0rlaMc
4CggYCZB1hk3QdxyLXGyKaKpxG9IDGJTK3w8VxSTqfJhMyYdo5qv3eIGoz086tP1rAmmx9km49Ed
TDuDC8mvamKIsJZs82wBoUQBG4Ekcft6hWRDEJkN8uwQ1Dn/vB/sZ4Ts9Q+bNsFax329NoI2e5nR
zl/XRpDLd6SV0QBTBRTIxh5JBsUlX51hMJWhLyGBK2vY63Hoq0XZ8Ex39ScaIP0BO+h0TluXFXKs
yoecxXHfiro8QxmiuVFS/RmrdFB+Ig1Tr7sCp3ZAe+ZrzqFarybMeJ5tsQKpWRtgFjbsO2a54TMz
0spHrrhcjj1nebYhijY8CKYQxAG0CwJVlfJHqgw2obnOXVUV0Y6IWuOAf8ME5iIKv+8jdMAqn5/u
NsPluOoPc+iM0IzYwcZRm/0oBW1YEWH+Zl9fHp1h6Sw5ufOmEtCJUBm7+sOYu85bDAIMU0PI32EK
0TgRcS/vl93VFkuIe6V2A38F7HcUo82OwNJHiggMzPFtozTuFawJmj6CANRbzOzYWxvk73uB4f6U
8gA8ETUlTi3Go6s55fHQCDc+DsEorl2GvocCjJ9e2w/IaMpDVHX2rrExCQudLVmaup9pUfCRuJvV
nTkkqPiYNHjzPHzQ6qrv1LAdNmaoLB+9SN6HGbqdWmak/NHs3gplkvfDrCKKSOPlM7V1u28am39Y
S16PPpE/FEnves3Eq5ZuH5yHQXnCSBA9NxpDaNAYlOzLWzaVRMzWN+I6ypp446A03JHeZazJ54WZ
NLTU0ct7hmU+PghgRmcUIs11ytmlOiAtXsgiuq3MvtlJ4o+9McPfWjufql7xuoMKkj41grOpz+Ka
HOGMaHt3+SMu3ENZ8bYICINz45LHjkV02JS2YmC+hpJBA3JkzCCjWzXoxfb3b6qL+IiJOaCtYY4L
eOqzsaKEvMzIeA2zQH8NiQVgAtTxwsuxLfuMA1In3Fo5cXClrIWPQoYXrqubYYhc2oGIRGLqe4gx
wRnNu9iWdsNGmuhKgwJF0ahZ52csrcO2qhSGIzlfzOAqklNOam8WgcDnAKuxwkDIMNcc1SV6yf1U
XW6IsHSybalDU2pgX51a9pavSaHeXS6myweY1ekd1fNbmcT0COsxuwtxdG5DV3kaAj745cORrCj8
NG/4CssBMiNe1Zz4WUOFJVziiBmDsiOneZgyf/KBhgZn0pbjHT5i0Azj8mg3bIpBZ3SviMrGXO5y
GDIUgxvOh11xsEsVkU6DWmhr9pweEkHfjAC1+eVj0iX/NPvwuRxDPiYp8R55vMW6SQb3aqjC58uH
a4NkICLYtu645dgHmXz+RjXqF3MKBI513sTJxIH1t9iEJZDLcFiOTMsWazl+gzAPaHRuClksuJ1P
0vNQvvQcFyJ+OYU9M7IwjAsUPnwYKPrMQ3mHUkLm0KIPxU4cj2gE1kQksX69XPxIJoZNwg3P9aR8
Gm7w1OCKXzsYljeUaOzf6AyuTF15QoDAFxO8mVqYN4K8swDROwMjS6wZ4GW7upHt728PL/mQtlxP
l2+JXpZXIMp6B2/+3Wx5UYXx6ZLoyS0+9mULrwxTAe5pLu0q4KOYWbsHRCF8EfLVoVwW68idD6m+
fMHLy7HkXD5VPXbuVVdkJzzFclvg1V1fDkjZVOquQSmC7ZpvWGLHOYuRvw5Oj/Wm6bO7IdaNddGO
ylExB3GNDllslbEuDtjQWC/kEN1ers5BzuMPpuU18g9DOSLudq/CnvcfGMheA8b5x6k2I5gWVYd4
GanSpEA5YO253FFhzYrz+4gin3iFqIkXsSxXsdsp92yZ6ETgdZ5XtSvFgyZw5cAHEKzDy5Ima/5L
mPLNxDjVL5miOLdd/GbXOt10qwg2cRcaDx0s3V2QhtVDqw64SWNNO2B9VtaLI/5q1Dv1xTUTlrZu
t7TZW0khGtYl6rRYSbY8guzbes4Vrx3kWeh3rtWjVy43jQzvCJlkV69MUBpG9gFUfpspamhTRdbP
RBbeDHR7P83Gl50bx8oZ74a2+XIZeAC5LX3RoOLXIsPadFUGdxH5XDDzy5N6XZtDveNGOLZdpTxF
s4t7YpwO7eLktzWeaNLBiFFm2U3XtdW54g9uPXy5on8FUlBsMd28l6Zy1VH1YnTcmV31RrrCjeDa
Zxafsof+zALwQxEpC8qGEfJzZ5hfTBiYkDbvrGA3GKHsV+hhH+gOj2mo7AtjXun6cB5NIj7bsdiz
5zR2tdp3a7Bjr//D3pkkSY5kSfZESAIE87J1nmxQG918AzI3c8cMCEQw36bO0hfrB43u7Mhsqiaq
fQXFzsPDBlWFfOHP/Bh71FIR5tY8jpuHBpwNCddrF7dX0gNf+LnE1pBUSLhVq/ZshY90ba79yUWb
td7Hrn5WTjVvubzMAOzYM1+rgBjBYL/CZzi6XfDuePVFOXZ4HXuUqphSWnB3I/pSHHVs5O3huxnk
IQ98kjccWKg20sGTML2pJOPTGId75TaKX694o82HfZZ7x0j0Ca9nmyVavFF09rtLncMQRqdei6d0
cHaGXWwjL1yBCl6BBrovFtxGTg342rNks6uaLCYj37xONX29Nj2e9NkQtN8ErcO+wDkynNHZam4T
VgfkjoJz7VpP7tBSrFtZ4zYjCUUef1qrLnnr5fQDko6zmQaOhqBjQFY5jXjoYvRwVNgYUvb/rDPM
PHDXsckrMhSSi3rVboO0sTbw58yD6UX2uk/qN6Xlj6Gh0p7ADSU7RljARFXo3sp1Vh1PKYiDAVfk
OkOuyBOcEbJdt70db1xwic+6+2lFwcaV/DQiSsntGAs4wwiKU1iM+dGir/KAEQBCiVmMrwUD98++
i7KjQcvKBmOxcYTfVO5vdfZl0AoGywBlvw/6B3BtBSGSft5OWW4RkeLmME5zvg9rG0JVZVyVobln
Oynt9VgPWEnSYGo0zgsFzt9sfIqTFS1mzqSl65Ynxc5xvfQsSDoCvjD0e2813QYVXz2CdFObHqPa
8gXs/eDp/E8+mBZPzYDklqvodLCkm9/7dp//SNvUP+E440UOk3DneVzvtMTiWJM0PsW8saFj9Z5/
1EB5djQo2m9xAMpkUMytKeQzbh8jOMHO7MRWeRUALXdyUawAsZx0ZeQ7nLK8GG5s/RydtGZSyzEf
qKJpYJKMzRePVfAakGGOhU5sgIlGZv6kzY0GT0+W8dmNJbuvpE3LXaw8HqLAXmCLlf680q4n79ou
ZX04Tf5bFhoRiZzAPRV2b28sp8cEFEg+uwWIwRVBOTwIwppYFcUMcJgcEp/0pfXTS+BQQABHoZtH
hWAS1Q/a7WwSHHO4ykg14EGktqTD9noZu6JkkpflpwyS3OJeEppnE7sN13LxA7PN+C1YyB9lTZVs
0JZEqZel9cp1RyJ0Q+fzhiT/iNWuYhI123BK97M1ITY4sDYILfRHWBrJsCVGyAQImt88pJzAlwh4
+Q+60rNPOtqW48goOkgcIrw4PoPbMHrBHWalgliYDJ9RRbGo1HMovwNrqPYxjKCP28g7DIBSYVMA
yUdnlvmHbj0G3DozQuzkA/DDfhrnePPX2GqJ9ByQLLp3cr3EVHOIoHProZXiApm3y0tAAp4jE2Gb
dQ8L0HZH+D6iwIYfezVm3fgdW4Jnc67FfR7zQm/qyPdTtNsBMorXztY6SFv1YxiXkTQoGNL+GrTp
+j0Q6HTh7eUdKP+4YsanKbt4Uk0a31N0XH4Wsw1ds6+8n2B99APm1fYV11F2SZsoupu8wn0yy6Q8
4HDyNmnTs98phDsfQmUCtqlEZu1ngcOcApeUtZ8YcIQmdrXPc85OuEqruez9V22k8q5z6+hRzXiM
khlRPJZp/DB1PjO25H1nlp7amXhDuzj0nwS5jruqY5eOxN2GG6J7ZMHmqQwRvVJ3z+Ka8ni/C3RI
gDzJEUjc7o+we0JnysoOUToP55HZmjt3Oe+0G08beITldo6zal/WXvQ4z4K7bWXqC6xJjDF+m7rI
e5a2vpGw7YsDGvaRBbBG0xch1wvgLGT9XT5idk+Cy2At/kCAMDB3NYu+JyL1xfv0F1e1meAcBbb+
SAur/K3HuNy7Xm1UCBDoWHnnDDyNqe9+Kgs3OkQwu/YgZd131zXY2NJfmX4XPtXtQOMC64HY/7yt
FsorF9j2G1SMOA5jCZYpNDv90/Lb2F+NQErvA5WKcwcdTi2r5/QYQcdJd1Xh5gfXwt7dKodfUB+j
QAJnjC9JXAcFp/cCnHVk2F1cv/cBe8Vi2KmcT8UCk/Z/gNiXFwqMm34bpk72S4sIFWHqs2Y/1b1/
XwY9ZDQs2mIFLD9/9JNEbLIsjjH1Nfai6JqKPF1Anm87tAPvXdNY3vbLdC89Mz9bTcAw1KmWZnTd
OHxYAhvsTWzlBSnayrsr+ATT5FTXxFlN1qIWGT47uO+izn/MDYndF3bvK6s6lHnG/LvIMLJdfMP3
ogW9FR7NLb9CbtrcpNrOEpd6uaqsE85VAolZw4eqmgpj5sQk+nRwboxgaY+MJk7sG+diTG2kOcZf
Y2s1U458ZgPn44IOiT2sB+vDv/GHZa+IMRte72Rn5DdM7/7Y6s1sZXl5aaDVf8PgHD4xyGUvY2dl
CxPBjyH5qsHFHMDrybuLw6TecAgZr6DQyfqGZsSNq8MEjoQ7xifDmHF1I6ewNQ8S4V6snJ/CKof5
MW+WfvKig9aMGWf2TpzVSMp95Kp3AI4sOjMTQPE6t4B9ESLwP4xJkpIUqdqmGNKqlWxZZ3JVAsE8
Wnl15FH7QkrkOsm6IZRcQ03zA/mNS/LEdPfsQCG8ArFCa3fiQ09EHXEiBRiV9Qjs4Nq8JzrU44KU
7/TLabrHaRbmpYgN1EJ4oDqag+Wh7pEC5Eqeb3mDOhuwrvEVJokLAVX0e7OJ/W3fBu6Fi4939QB5
7ad0xGTUJc1VFYlz7hvf++l78dIAyMOoCZfBMqAQbA5z+9eYGmQUmS9OJb9omIpVFBWbfnA/09Ht
z+XQOV/4BkjQRVNbPatAjBVmcxSug5eW43gMR/LFm5kINT0NSRaO+0ESwCZ+nUcbkKTVu+y6vt16
VjSeeWbG+8TGz4Pc7gXDxu1rkx8PIoS/gb43bkgi6IcGpnq9bdJhmsGmJfWzpQL/y9XoZVE0Wz97
UhyHqYljTPuWxXwb+eLNdumaYZ2f1/bGH0X4S9aY/FzBxkQ5+WsE3OwnnZk4VybCAn7wxEOu51NZ
+e1h6sPpi86igPpfrKfcFrmuceWvDEaFwPLwJqHZE3XMSNr6qj/CeYhf5jSKsr0cw+ZB8t5Fv3az
fSQnfJEkiP0HBF6uB2MvEfMCfkAQ4ujQsLzsU7GQl+0+bLZlYfU8Z+Ih/jRSAhTjIFkZlAhfTuXc
LW6ITVEYvNIlJwbWAa5Jrl9jalEWChZC5iZKMXuWZGd+8ljsHmO7by6T6fU/dC6+cx5ja2Cx8K2y
Ap53zosbW8E6dgLcOCFY2250ychDwXsRc+aBZm5Pac3wB5ZqzA+GbTPTuHn6OIZO9IVxuGfY1jaW
I+Ue0XKYa0zAennQPuATrZ41kFgiMO7eJkC9IhF9R9aGc9Zi20ceWMXxc+P17238IJy5Ry4zjhid
SraPrBuvvVn197oayick0ODge2o6mUVX3/MAtbdRSmGRqtNix/PHPhJrzf8M87iwVw3nTudhey5E
Y+AKaOLHCKsqkahGP4Hz3Rq9B/ccNfBaDSm3mTAqD37TFPy+u+he4EUjPFL27iaVTXEZSVHe4a/A
dktQNjFEuaN7J74gymODsWqMIUXlbuEn0tNbBfZLO2C5obXHXnfh/EFfm7ceeIl/QGpw9k3gng2d
P+ZwFNehtEuQvxHSajIaGNb0tImjBL2bGPjBioS3mSf4mGPe/knKnOe9jD8xTaa81Q0+H6ZLr+QC
9QRZ+9FYxpPdWPLayj5/ikUc7Qj1c6Ouo3tC0zy4pNG+SUsRzyGTjPgdufdFW/gfLrzHh1E4/p94
tqf7pMizYWUl8HugwqO3FeGe2e2eaS27Cn/sDrWVh48Ia+2nCwdhX5it/nSNrjlFU8WCGCvYPu7i
BjXase4CUeNhnkkkKciCOxX3QBYqp98jwI6r0uJFJ/VO3E/J2b0Yfj4cmiYdYTiHcbyHGgEBDiRi
AXvXtO4MZaRrVdblOQtGa8v9CT+eHIKtN+B510xUnXzJnHwf5wGfuEE46b1kA3UqtK0ewxFCb5mE
+qXNm+nEvOVxu0db+kvhmTmszkxYqEGBNcPLMzWSL3HwJwV3gXVhHB8nRPGtgy1hqyeD452jyHlQ
BRAOtMpm1xYNe4/EmDYgJAA9LqEmabrug4d/8EI6R59kaycPbNLzbVsn011iFPrIImw+OH5NEN9O
4vVkONarl1nVeS6i+NhCxr9DTmHrHddteu8XaFWirEaOJTYZFbfztaWM4iFTlbuLYXTcq9ILz8T6
0ksjDSYYoDjHrpDBzssXkkU0TfExiSR/eRCHrirbuwbzNLQ/BEeTJ9ygiotmwwEC2uq78pmdCpSn
yQ5a4Au0noHyK1hI2qptOIrdeXiRbd1d0sDLeAd59gYQPYinkOdbzKUXrycr1BW0IUiVwAHZbRnC
ugwoARABmE6KokRwinpZnEy0TRxfc3jx3RL2XSQcUKJxymFXdp08Jh4U0FZDjDYGlrqubKJfgZ+C
jy/H7FOpsj32toNa3HTALVLGNFx7nhUiQSZm8QSvNv52uHaeoPK2p3waZX9B/IsebBS0s4P/fB9M
lfXeBa3Nahx9oKIFGd8A0p3OUANVgwQaRPXjTVfMFJptVaL74sxkJWED/fxtc+l713Yd7IFgqx9x
sLxpfARaFktAHF0nPd8WHlWj0PmwKB59g/VCzd0GRS7l3qVhGPGlCJd+82yM1IrsZvLuGMAMkJ91
8WTiKN1BzODyEuct817HAgRFimnnJurai7xPxQEir6fML+HPhGoHjAbt9AkLdwANz4OHtBe3ZA+a
IMBhcQymZYcGRXBjaMd40VwTd+Gg3kz/OdW46qBkPOpwXJZ5EuDshEYTNv6KdrX6cRxL0PD2cM2z
Ue1UGKU7j4mKAFzbnPB8+Q8xpIuN1THKWFhfCW9qfJbaD/az4Z8mCqjXOEUxVcqSiSaqNzP4D72K
WGJAy81NsTFtnBlmG+hdXgXzvWGO8Gy7sDmPqSPWCY0D6xrLNifVRLXi4LuPdniaXeY5LcvkeXKD
8SsOeVlpJEYFLpMNN82KtykTtjYFR1POg/uzrqrxJS/n5pkZKrywnCueHJML8s0oXDX8Ys22j4Gv
QIxfB5lonjXQvUs/krNcGQHvFtNDa0eCTc/AzrkHpx0OK4eDEtzDmDjRX4mk/w6v/T28RuMTaa7/
PLz2P9BC/ud//Eu64K+/8n/SBeE/ApiMFB0SpgeU6v8tXQCXkXiAA9mJ+qolH/7PdIHzD4B//MsV
0iNJIIK/R9f+AQHq1lnuULQm+Oe/Ei74V5qDyzdGPI70PfgyEnRk1f81WbDULmQixmHaxl1LeQlS
eo67yyVIDGSJSJuoKmvazJSGsG4xBtH/FVP5TwGA1pJd+L+cqeU7YJoOLL46wT7LEst3+Dd+ljT8
qMtbZ6SjEWEPbn4zRIcpV8ZPOyijH4mrRbJJufL/AOqTZhwXmsxnDqOb09AeGGMn4Zp7Rc6rOmZZ
3evlXhj9+tur+vjX9/N3DuO/xu9u3yUtPDdQgUsHl/dv36WZVpBpimbE0WBWTy3b7hfU2Gz///8q
ADH/5bdBJoPuIlwhpAxsd4mV/HvSI411TjKdc0mrqFj5t86BWvveV9Y6hM7F6EFDuVUTBFEgn51w
GB9aQXNBEOicyMCt0CBj9T9tDW1QdGAoWhgeZD6FQAFuZQjxCKnzYlQB1PUonBLnLg3iUTw7NVod
Q64x4faewqw7xlZt07BQk/I/eeQu5jfOplnsrM6r34FV0s1An08Trp08sXmcKaDQMTwx/L23tXRt
wgy+Ek5jBx1kRlOdx7A1+p1KcwhSjsbStgsaLr87c8yLcJO7tlTorwJ10LEr/hSdqBwepowE9xpR
usgf+1vzhA4qH3ZSO49mIlcWWo4+6YACtreqKkafY4e+3TXpw+jgOZSivSfaYU2FKtaOG48Kg/Sw
tO1UPyRK+HyMc7LfaKkOIMpUixB1hVqabC0LmdR7g/2RWnMridKjdjqs7IPV5ne8YSUKnQygJCq8
fGyz2EmRso+1+FFmMXR/gxQ/WCDiA8yWAUa9jYuu/COcy6TdZkXIFYVb5iTuYrfmis1SeRZr5c/e
fUNlwHs65vhzQK+3LAbnOGD3O4HK2ToZ90Gy/wMR7lGFmP5L1Vt6J9RgqreKfGV4ZFAR8Cxy5u41
PCVTvsVkltr7jvgJQUn0phevVYWzhWJthAesjaZ3RGcJ3OMQlaO1ajtPTj/LuWrLF979cthUQRC8
SmWL+qgj9hpryrDsbmsTmfl2W1ueYLJzDhGNowIlCHp4xJi7wuYuNRBEV8wJi1EQVyzO/KpHUMot
x0kfAZx6Cmf+mHYrVEtiBrlf0ZZUW4TdUSsQYHj3ZCDEHcdldR1ZJnN+Dk35bYwtp3yLBqP8jiuZ
YeykXSDHIKSdV4+rDeInhjNuRQPxygtiMWZD3c3BU2TVyY9MuN6XWTamOo6JxHLnVcN4MO05Me6H
xiPdaiBj/CAQ2Q8rzUrhQ+OqAa1WZ99e6rblQeIjucph8K50ysYA44JeIfRaCoHB0t7JRDEdn21L
THwkdB7JfRfmobkfuE6A+/AjKEp2HSr3MEPO5yUlIskG2ld/+mlm56ImlhtLD4K5SiQZe9baDj4y
bq017QWsq6GW5bhmQU64nzjfYZDpjAMJrUg0zhaywXDIMsKJW4Xpe+cFk+XsHDKk+7aNSzIx1Fua
azlOeA8ZkcN53bd5vVHCEd1+4Kf5sAsXoH8TTbNeu3nPC5hOhcwoEQE1tJ4UBO4jZQv+xOo7IDqh
ZUSUDD1i6DfpZOjxFFNfNWFvqvxDXjK4rodyCCx0RjeMiEnypXBVCUaiCuiSs1YW1oaNPQregqAe
ElxFs1jmWkoMKDrTr1Q+xK8u+f4/iQiAy6u2pKgmZQG1C6H+vvq1+6PACfwrNxU+hbTwWMsD4qs3
sbH0U9Sxtoid3HorfDmm93BvMn9DH9887CN7uLVcaG4hg9WoZq1al2AE0Ev3VwpY3lmVS1UGGyta
M4qWBjJ8jkubRndr1tCxSwy5LXQc7/Jb+wboYZo48Nf5b7DUwmEPuUydWf9pZBpsSRWYg6XNw701
e7hTWn8xgbffpFAxMhrJmJ/spQ7E6Of0I7h1hIwoN19hPwxfGFaukRgaDSLu1ilSYK9SoVESQvNR
9ELZvNem+UvcakhCjpwPUXzJKB6eyAknX77CBzdQ8bjvLBpM8Oa33/Cu7GHVjEvFSWXWxptYek/y
vk3gF97qUFI6Vz6GpSMljGenJC5Hc0p3K1HJo65l0bt0q1RTUhTbJIunz6TUF+/WwMKey3pm7538
akOYgTnEhdfUWRpbgrTDRhbMov4hU4G0NvNV7ls+nAJs7lL4Mv1V/nIrgsEiQimMt/TDeJmgKiYg
o0RtDI0B2ER9hWVPJuEAiX1pmZnTlMKZ6lY+Y6d29Zz/VUmztNPEt6KaYvCLN0q4sOZ2tyobI1xq
bfhJySaEtvy2b7U349KAgx2XMhzvVoxj3UpyikC7uFaX7pz6VqNT3Sp1yqVdZ7wV7XRL504uo9Zd
C3+p4iE/NVFeq5eKHnYu1PXYS3NPWsaxh5O250NN7BjpQMZCy9VwK/1Rc6J+d+WCmXSXViDSCdDS
8qUrqMrS7LEzSRNs41uZEP6q/t0L0FdXWdBhpDI8G5tEmSXxNboVEoW+xOw5EaesLmwUGiTr1mcU
rIsxu063WqMJfhQE+6Xs6Dbp/Pfl4d8uD8yR//nl4alWvKCf/3574O/879uDG4BuZxxklIK66YHb
+mc22eP2AIKX1CjIc5fI/T8vD+4/BLgpn403iXUAFx5/SaNhLvAusBcM/PwfLRMoBiDf4L9yecCx
++/Tu+lzrbGEw7aNy4r//8yrYya1hxGBDA4wxnXeCucVnQthRXmB2nDCoarp0Mw+M1/7fxCfeZuN
/W+vGXdezTHQ1na3IvUfrd1+DoBwNVEDwVRE09ppTOucK3p0OimJ99ajUHeitQokjdHiQUwhwVWz
O7mOncNzOJiT9jxRPnftOPd2M5n6bZlPDh4dF1RSGRrp0ao6n4eK8R76CT5NFvjPji4xwHda159F
nOBj7xS794iH1EeUhDmQKLd69iyy+gmtZtGqlbG5E5FbYe4R6Or4koeceIT0+5NtJtNpLMfmwy7N
/E6w9X9QMfEOcpXu4kEaAWGWY5mQOml0eldGIj+XeArBU4ouPEoe/e8pjRcXo41oojMQLZmnhugr
Huz6pZkLZeMdwkGxEmokNRgn7XFSHnuB0JoZo9vwT5Jhr8vBSB4LPA4rgVEuwDmfzg85GcCdzVoJ
jMGULymy1J3eDHbe/Hmf7oEVpLsibM11jBoOuzQgSc0YnLBrLEgemjM+Zd2DsYz9pd0z64p9hZHk
JynRZm1Tz3IIG+MDtpm+88tKHktbYou1W6QORxLv7aLc+OC61mzYu4R7VmH9OssxtORYvr6GwE3e
PHMolv/fe1u7v8vMix78PDFo0TFy4zkwTP3VJ6x6oKBQzhfGoFgNgY8sY4iyVjUOqbOs8uFp7jB1
RaxE+aajHR1txcotjG5PNaaNzzOVWxxHztYERFmvoHYS2lFV8M5mv9uUteuf/DhLXuy09U4QS1lT
mwWb3JAqyI8ZdD4h3Mi8KKt1922VYCbhg7gd5y58irLRW1eOUxAFCeOKgJA988rnRT7sXb9ID1ZC
JpqWyofaKNOrG2Uzi5kpfWWebfcYU8pfVpK4uzHCqVYYCVu7bKzBkPEU/tLSrq69x+2oYCW2a+og
vsSNkZArXcrcZEtfSj79AOCXrYnCBANmEjGQGMPpMqdImOS28ruGDq61zKWHqJ64H1LU/a+UHnmQ
F5XzwFwC9ASjIpaJgg8vxqz8kcGMCnScipgI61FtorlN9mU7qjc7kfrJNaGhrdsx5wJfjcZ0N8xw
MjmIdPsnMwZZ0zDkaVtcqTuJhHzyHLt/HIwBiTEoMTFzq8FrqOX4MiRQ1MBH23w45Zy8D3U//Dbb
1nkt1BQ/VLlXb9hI2B+AJ51XkNmI52BLjqaBqzbWrr3G5Y7/m3Yn8hHgUVlZjBh43YgDuu+F2hKI
wyy5KKRYL3DIos+/a1Sy+8HH9RiTbP89SqO6Vr0v9zdXqLTs8WwyXW+a2CToYfA8wRztjNuwmILP
Ti+5EDF0uxpD9jUZBv+lbzRkczPFNI6oKrdgHb5NZ8QHSgR+fNHQZK6U8bFob3BWszNkB8/fHn4j
QaK4LrZb1ZN9N8aq+KwBbbJ7RwCmJF5vOi55b46ux5e5YkZaRW06kditsUZH2ddE2IWoDZLy1S4J
Ozfaju5wAfcUu1H90jH+mvEGLlDBHiyDFhyxbFol85w9J71j7Xs23R8VtQyPJmvg98IyzSfeV8Yr
tY/jxlGi/VWoIN51eZ+8JAgZ7wpOzhVLRe4TD7Sqo69AEWMjU8SlgrbDNTK6u4DStousDXAozD+8
DwlA6PR9wnXtgmc/VC4BLpv3/FHnBe2h45xvsQZQs5qiB6+gv6iD348xRGKq6gDKhO1DS+foT9sM
WtpsqiP+YmffdRk7VejCmLp4hhGBqcZKwcSZHwkWYX8KMHsi/6qIxbGlXoWhJN4nYzo3ePHwQUdt
uzGgBZHJlOV66ZZ4CerWItgUoW1kYpovFKSR7qhm4046s7U1kcl2eGJt+mSp0VEOXHO3VyErP6gR
pRWEO5aF/dmRAfcdJx9+FEseE4KwuaNAcb6kbdje9yN/mOoy3dWY8l9KZrh1WMj2WqpO7Hn9mnXG
L+4+swuiO05C15ZKoxOmuvlQpzSbrowpzgiV0JRGz3dzKTL1zH/L41XWZy8oJCgkCdSjWV6S3I9N
GLqZ+LY5kU+z3xk/cVGFf3SzdFoJrlDnmW3LOi3b4GInoHnYjmJqqYsHAinFn6xD/SfRW7/UU2S+
z/iiV1GfPUyxProWabBVydzyKK06/6S4zdqAXiGkaNX+sRhEd8BsGsIa6Me1B7T3DHmcaE2KKUVY
c/zNxcd9ZB6VdxaJ261sBPcTbRv72XcuLMho+HX6JY2sPyNYA8A1wDqR4qHIN5zpKzSM9pD6hsBW
Ka2zItCw9oM8xHqSZke40HpTYoTnXTHFv4oMi1IwgeQtB7c+hq2rdhRSNTuGeedHzu/nW2IZuQt6
K36RpKvuGQUitj3m1WhmAvr8WiKj77bUeaBC0nJ69Hs413iuBNaQean8rRSfRU65pLJiYMolFUo7
AiZYNUqGpuVUceaNXQYG57lX7+AUIislhr2bLGs2yScXJPN9ArO+NQ4svWvylQFrH/jOBXRp7MS9
HN1uPRfSPxTzmF7tvm/OhgW2A8ABtgRu9eeg0lRuZK04pEJHz2nqhWuuLPXGAtO+iSzC3qLDSjMl
1DqKacjPcSI/IL43H4mprIMOumFbDdK9FuiERJHq7HGQ3cSyvyhxDlvJlp9vPoVuY65TVLiTinKH
zzpQiuvcURsH8roeIA/OPVphVA0/MJZX9ynPczbG83SKLTc/Am3q3nttmI/WFHsPxEaGX8ZcepvI
sZ2nuPf67UAqbt1782aKq5JFfxfvg7pI7ux8eJPRRPNVPjoXQxSUVOehI4+qK5ydNZVsYKBzIlyx
JOxfZivFT66aMVuZSSrPdeI069ZrEapS4zThNl8n5IgeC1+03oXSRfvgCcwXLPbb8+j9dMumOjG4
EIcezUKsBY4O3Lr0jVE/GFVnQAkZ+3yBeCPnqtl7MBcn7vlWCTth5lAyhhbrbB0F6lIJyzhSEI1T
gGnpaxwcHF7QYbNtnLZdu+LRLI44qQDL+zD8YeC3TXKRofI/qSRMN3TLzbvAK4Nfrg6dPTD3n5Oe
yPW19Xyde4AiTIDpveW1v0yvsw82qBxOBK979ZoYyo8S4x+zNXgCOK4EXF7gDlXN3J9KUZUkhpzx
HWOIfh0TDxRiQ2P6Jz+HIHVZcLUExDe+pNrWu9EikAYzpz6nVlMD9/JLGlwx9V9RpqlIpMuyeE9d
lWxC26zeW2FF2wk5aEH9qBzjKgWNGhDoLgYytC/zwbvrUYiXsZ8scNIDm4mxuH7MeYUnlxECRssg
iHRmboRnNEka680JEn20Zmp/uW/TxRAGxaWPdHT2Kjnce7MTfYYtYJgWpud3YQhxTLt82PhRZSxb
CBltINiJS4h3DnwCLuiaecgrTgTJ7RMDCBqSZWFbcruquw9m01x3s4AGkJAj9SVBGVbY+rFEidgZ
QxGm/CKt8DLSsGiyq+znSy5kt5mBfr2OC9BmHlL7yyuxxbnG1H71bSna3c28g2fL3GdWN23apCWG
lacj5n8+U7SGpn+myBAvNqmaMCrOhqzs+3B46c1oeh6oY+U9mG1Doc68cxBqhDKPXB7ScqVmT2xj
20ZuNz07pQnPCr/6XNu/sM/ShjvGsv45VcAilGLhbVF3fa9waTzmc5HvkKmNgwsY/VlkwvwjuLuA
qAi8q2TuPnqNtjihnZyToH5viuCOAWdHpwGZ1w7H8UMnRARrRZcHGz1iz6ej2mZBSEMovLQTBard
r0LyoaYoQr9HQ4mKFhLWTidOEVYLobGJjKk8Fr5Ld/pCs11Z47RYv0a32IZRN13Rhex9y9MFD2oO
yoii8aOeMSFPfoEpwOaT98jeW/+pDdWf7bTLDr2OqGB2bbqkszcBNDChH9jrinWbkP7krCUV+jqF
0WMUVI8198WtHY1PUVfOBH7Lp6kiEz2FFzH5z5gyNm4QPRWp8Zt2jmdBSD3zo/siN7w1/g98o7Wt
CHf7S/wxtQ2elI33exymjq9uuw9l09KzoV1DHuVYdGBGKrWRlK2uwxCEfFN7mM6I0r0YiaXPxEPr
h6Qv85N0y3gPQUE/pmMW7PshCp9qHAs7iz6NfcB14pUuC/Z8QbduxgFZNjKD+4hy1mPnT5eslGO3
hlWv7x1fuafIDIdz7GZbylDlkZ7emlHQiv8Av3H5RAqXidpO3uKRmyjkp7VknyODiWOaw97juLhn
7s2uSflN4/JwMVXn3rcpYakVo7EwYQRp94WxJcD4gaSONTs8OSSOtg5U66eyKwK0sY7roYpsaCRu
KK5W6TX7JGDjs+n11POQmlLzFTyiLTd8AsY3SFkNXgg/zz74FSD9epP5iFl1AWNAsE22lJnQVF2l
896gjWQFKyR+dvzRz3j3ORmBcEa8qNQOywizZyVVltciEX9oQ4BA7lVOcg1T1/usCoWFsRz1GeS/
tUvBMF3nkXDZLnBnh3BKUTBpulP4NjdJuRnCaui4RlXNvZozknW2Wb/RakCRNaYh4w9WGhC4ghN3
R1qXVAOtN48uMam3crAZszw3BTfFdecc941xAXQpNh2dCoc0lFhEoD0SOE+NZJNof6I/Oq3Wkis/
KCW4QNzUCYl3kWFd0imb4R7lxsXMMQJRPGPtwV9PMLZDgpsEvac8X3HGEDXXHgmXfh62Xoujek12
KjgB7PIvWRRYXGlVdUnA5kxrljGLP2mYXkq/B4mUkNRez57dXnVY8lmI5ijeEzbjsJGBARCrSof/
xd557FaOrNn6iViICJogp5vbS1veTwgppaT3nu90Z/cN+sXux6w+ffucBhroeQM1qEKllDJkmPWv
9a1bYY7Ormqi+MhAb7XRpuvfQVTVZGUZqh1ezZC0YUAbONd6BiUE6GCStOtYDHoHaVx6KvBrMhDN
m2w69jC/CVcUsgEgZHAeqweHgCmt41uVh3NNGMtefrqRV72pVXYX4RblK7fZ/ScwFInpJJhuhPGk
6rg4FHHcfjlhYF5lFbGGaijnF05W7nmo+uCqJY9+GqZyeWy8pTjNvdUeoqyGQo4GdwF0Gn2NFUPJ
jd2pnAFgCGmI3LXO6QHmLt/lmPpFiRkJoampj13QuY8BWtAGkX98jGWWHyJMO499rrxdbrndSNIi
za+44Reneja8Q2kTr8T+ghfYJPe+54LQnvJ4/l2LhVnM0nKzoteEe6197D3TfCp0MpD6UclrgFx8
B7VA/B51o84N5dk7JzQN9Alw2kdKQew7mqmHnUm445Jx8Dl5UZ7/DqLOu6+CkQXHcuWbEUQwD5bC
5pzXE+nd2Ebp/Z7hMJa7PsdkOBuLEWP3pii+zFV/t1AkcUvCn7gaFoTmeinN/K6w2unWQb3nSGsQ
OYMvIkhDLrxcFXeqUw527IHuH+chrKfpEf58f7QTW154ISgXouvjmi4KGzd7zbiW45ofjXJ4DRUe
PC4ly3Ub5d23KIfoA1DPfFW6WIeTsRLczMzhqMtenoTgku2OQ/kt4FDfNX2Vf1VRn59LUsP7NGek
Z+RDcNLxiEhFRPcMm9Q8zU6SH7M5Cx8mE5MTOZpIH0c19ZfM5UC5sdRc/6hqpDy2GXTLaMyKjqXZ
LTAT6hqlhaqQBb6SLmGmw/igW8cuPqiJzh9F1jZPqYJ7FmSlt1OxKY+6m5MLGRvzMhl6eLS1Nb7N
eIfuRWRFJ8bn0b3hNuZVr1IG0nk5GRvmrd6baRD9l4I5SQ/lbHZD99TnSXZxZd4fTWcQ5yxOLX5i
FKxzhA0egjjgWm0aEZSnmBbFZtK1u+nGruO6mcIhIlmxaQzFFzKVw0EHamWaecL4ZS8qxFKwYETX
S/EcR3VN+gQPswwa+c0cb3gogHgd7biSBzsFeOtQFXeteKfrjTO31CcrA3XSGFfkrJlad2idekub
7eo1rpq10vZg16gf3XMcGN6jw4D2wbHH4ImLqdjPUxm/4+Jm8k/Nza4HBPS4kCPacFIdd5ER5Hto
VMONE/a/E9Smx1qb8HRwgkYXWCwLDpdIvjWdVux/UGrzIu12kyvcXagSZ+t0YYCObS0pOLIQd0av
NWXxBr02MZyGK+C04sCoLnnDko25iyUdKkcqNk4On8SbXI1CNT7OXSj8zuwiPss0wWIw+/yKauL+
jg6G6NLHbID5qg/2NHzftk4oX1yzHW4jMBhvXjiB13UzdZzazr1FKYzNo+s4s73hEt2cwrCJgd7Y
CH5SpBAdvaBE6uJMxPkorAYz3+TFOuvh0DwdDYvjqW3IBghXltI/zDm+f2stgZu5MxWx2Kaf8mRf
1dK8Cyrcpb4z2RJ+zhhzSmb2gBQocvWu3RD/RlN0JD9qcmJQXcrmmHjIVYJHezfC+HXeehBjyc7M
sdQD5UlcCJcR2F0CLjFqHcZ98z2RaHKMQOIrdlogA12LKEYxJEyGRjTRvZaIZoXDYJyVBZv3hVgm
hlkjHMrhCK0K8lgzNhFksYpAejlP09eiLISFxjDrG44MGC2thr4kjrWofU2E+ljgVCgpo++nL7oT
3ZsmWBEQ7tjVj2bEtRtNM1rcI94pDBxtw3TOd4gA+ZK9lPMo2ZdjsyzTcjRpzko5oE5Uh8X4PP+4
L3mnxp8QTAn92BQDwsjCaYFIPRbnIVh9m/ROY50c6czzjV7i8FulzOEPLQGqBJKt9I4eEadhSxUU
tVnEGbaWW0evvEp8i7RwnTtjmnYars8DRxD0EwXI1BzaFrJQ792FOGLOrLv9Q7twBzRIssy1W93Q
IyBJahvZU9GbySXszVtIaPfgcQEfp6IgMQmkeCNKuznWrENngPnpddLBFWMyXlw5gfFBRoCboiG5
fkKcZaUMHRv6KHXRXw31rFtZO8a93cpuGzvOmxtd41V9dj0G/RySqTvugvhgKMDbveXpIxkfeund
wX5tMSNBGwt0vgfeH+w1wFpu9JX0Jzd47E0u6KHJhmmnPdOIwF2OLm3xVH3p/GMg8H6d14Peqgay
jDd6IfnUoN3PYZ5yn1H9xm2A8sRhMOIPxWW8iSEyb20OfWedzcmnpifvuuGg9intZnrLpRm/LBP+
3sIYolcaXIJg189rzVuf4IT1J4dWByZakRo5TaGt4YMpb0KeuQuxwPievHF+YflJb7yefX+zBHYc
7euuCh6NKJvumrBtD3lCUhaFBMInbwsvDsiV7waLmOMPZpU9zHj/MdwK53apTGy9qGcld54WRs71
/85l/ws1Goem+d/NZe/iz/7f/s+/jmX5kH+YOsVfphbAfXHpWev8FRffvxcSWM5fQjEI9aQD0lfK
1e/5j1YlBU3aMjWVBJqY7J9y6v+Yy4q/+GTCZm5LJRGa8P+IGO1Yq23z/5sqmexKwcQYpLU2taQ1
dgVK/ydTZVs1BihNzCphRsPGCcnDvVnaPCq3lWJI9LdHL51s6zn3MJltAqvimGynGq3QmAPnuTMt
bvJJZODMwN5lZHsj7ZnFOTbPJFtZ+A3embeOrtdC+llnB9Ye0IX6MQoCfcd4IubkmwDODX827fYe
zXQV84uUN86sZCwP8RIIXNz4CX8XInV/etkvTw2ZfgqflnwGv+/a0UOlBAd6w13frIb9tzxquNcC
n5jb1ccedzVgIeWm98WsBdzVJNa+UZXWDRoKlSX4/PhwLWyj5YiYWL8I6HnfndZV77sQVU1/aQ3v
qSrabnliZN7gPctC5R57BEvYV3A53qjso/0ROBESUDRoRTcMOBl7lyOvzldKZdhWQt7n90VEdPR1
CPH1trMj58dgBP0xOG4X7CbpYgccqZJJWWDzuNuyEzWvM5tusDNpcsXuMeSV5UdlZz+baFF35lz2
2XG0EazAnlYYuluOmA9dNzZyyxibvQ/Wlqt8cLzpD2tz8miP0Mx9lykL8Slh6LUbJcV7WUJRe20o
8AR44yZC+gGqRrIteE6zLfl9MB3VNNi3BI2BblPR131neQLIzDajFC2OSP9TFFvC8HsZMkOy51DJ
TYNIwQ2sts3bxEEi9OOKS4avnJTMVjPV4XeZgvnjzhPPwTYuBmDhlVqat9ash+raicG0HokeAwa1
DIvtk+IW0LiZZ9oPONXodzAZUfW+DWnypiHhHiIqlEl7wPna+0lHb8ARqpt7r6wq+4VgYX6DJ0a1
nWQUfHgDdIOtUcT9Z2K4jvC5oGVIHDKIH23yrTOewoFYcStqtIWyJZjrNigxoNyKvUs0FVRhWANW
dpwKAoc076thSW9rjmwAIpbomQi/ZrdXKv21TAVbZgXng4Rn+zaNCVhCciNa7vNUyed5rvtgH6Tx
iDQnwRCjqmTXqptJiZQp4Np2tPv2ga1VqyPPAQBTd1yHWMwNBfYnxa+IO75HiDIXM/QKkbM57aLc
jYicz6rsDjn1KYwmGXflBDo70j6uWfeXIrdn5ZdTG0EimNVYIu8DhSSnNkzHIZ4LfXFJEZSUW54x
fEqeqYGWCd1HUYvjNcU3Eeiw/XSYut+u8Op+R64svy/lyq0KXWHeWlY3jUdkauKbaazG9DiYPKhb
A6ERHmaGGLERbOkk9dy6HPdZHoA4rYti3IagvNpDitDCO25O4Jutzn0fiTtts3Yc38kmN8slkFoM
aKxNej9B7aY8mheF9SG3K8gkhkBCSpIGdkZuiRcKrUJ4otSXDVdN2AwcnUrL/HQYhoD+cr21u9Xh
FBa3pfmEA7py/JL8yt1MpDbd6j7jVyJgqmI/Qel2iXLG5rWtOLPhuwBdvHFqr35VhoRDh9G5T/YF
yGnpU5VFnozaXwwathjr34DP4IJXddhRPj6FlrWzdRu82m402DiN0WaYBAlwcn2j234HUYXb4VRL
W9yn7uikp4rYenm0QE5cCAbXCwH5mT9eOm7/YqRYK3dzl4YXKlwdm+tZkV+sOMuSXVEstKpXMYbN
BsP3dHCwApPpt2mlmAddPDMeGxSu3Wx5S7LB/MiaLF9jnEH2K0phM+50NyCCNlU0X0dYc8y91dby
vZQOcGDlpe2LhU7MqzswGPYjZTLQTTDnvHMhRiAh7vcEdC55TLI4piRjVDxVAAb61i8M7judl0fM
qoRrck0t9HQfEnBEQ0+M/mIOblW9xQbDnNLlSrRJBFSWAy2xKDwDZKwPJ2FD2C1eg5sBJ2CP7zQy
22MHX1iDSB+nR3vgpaHQzmJYHMUaSJACwvNADKJOaQAmxvvYj8I62IpfM7Bfh1eDwCZdNN0Y1N+l
JpFjk6Ch66CMyrvQhZu6i028pVtFk1+2XWMHyB+cuS8IeEF/Uv0iGzL0VffWYanhOAy25mPGYq03
GAblEyXR2Z12kPO3QMxCQMBLo2+FnM5cmWe+kQWE32Yec9oD7IFJABNaIDZ4joV865nqvI4yT1EW
i4z7OHlbcLwj0/w77qHEwy3Z9OeBIlam+9G6bFshGFqYhDPsXbAqk7uzzQJOyIAaN24Gm+WDu2Bp
v/P8e9k5QWq77zFqCsZjMPy4wgT04hEtAtKAYb7w7VoVzUHW1Hj7g9VSjLIwRGdaFuF9OngDrgwH
rFuzm6aJF4iIsf3jZUQ3dpUzMS6nD4aZJXZ/GGfEsd9TMrwpEhiOzE1ZQz5i9JiVhOCiER4pLPwe
J7e2Xk0QISB5uedTbjBHKybVDWrINWi/1OgFxvgLFJxwfE0HmNxU/YhqUfG8I5o0o5REW3PANA0e
8A4G2ADIJfM4Z5TjzMbpOZ3BLQtI5Qu/RgdDEXb118RoOnfbNCkIMCZXzg9a9WbOdQRCMyk/WPpr
tgYr7n81HiYRFpWsfQLv0Od+rcyqxjXgjQIYEsHWbdqr+opwdEJiebCtEHsVyCs/9gLvSRIWm2BC
2wX+JUszR+Jeu9wgxpYd1mej/mAPD4mz2NK9jyH91khQ60GoD/GybeEcxOzhJCNfl9FirSHOwBRB
F4PdwUBp2NvmaALQhX8BgiGLOZNKc8qMd+rpLQAqI33p8IthOsOdDdt84yFBzlsvC0qQxnZOVwhz
AzQ7u6WTgnahqAcg7PCz9FNhJ3fCC5t96LDCbweA8NOe96Udd3zlSU0VMm6b3VDFZJqtKJC/2kCt
UAR+rNhIeqwDKPVd9xpFRvs2RCQbs8LpgF/YvXhqSQyjEMVgmdZoeH8zqYzRyQw/1WNf7borFE4S
ArYdipPh9tgkJGSHLSK8eAijcR08GmFJl7usGSpOVssSqZi53KPJmHQcQr1wr5ym8jq/ZXRc7Tme
cZ5yVVp+2YvmYIrQwqyRr6liNoXMhYyQyOEesX40/IpzbcjAEIoDAkKVbefagFqVCcLc9Ex3En/g
hE1OqjECHOMs6oIhShJOjYfK9pcwhi4rnMK5wT6P+XZiwWd7qZIzpVtrHYZHmBx/o8w+FoPFlpPV
XJ+NwZAgZscMi0aF+ONRkR2Kr9nQEojr3IQ4eEKswXXXVA8tyYFwhyErs9D0ZUqbnpUta7tkIvfR
FJMi8AY31FcuY+JrkVGu7bd1qQ7AjkxwrLAtMUwpm+BCV7oLtBhzfVxicjW/TJaUz3wYButgStEb
vueucWjc9QWPCXfd7yJPyInzwjp6y+5WX6Aq5xqtBDP0phkAqgUBJ1GwUUWld0o7rOPRAgrMB2xk
HaY+ptossm0NEVW2HS66XnA4TiK7PqVhndS4mT3vxARvbHaLQEtjH6rdnyHuerEHxWDnSDdKvAud
AsLCXuXSY+920Ufk0ju5tznuZnvJvZzMBvQ8dcDxFtKFHaOW8RUv5NE0xPGvqM3k79ZRnPEdeLT0
p3LCDCgvBM3NUDboCLQERcc2p4da0Y/hVT8CistIIwDxmW061EwBPLfva+49Rf+lU5eLUG+ItKXN
R+ZfdmNy+RdWop4xEKErTHrUFmbyhucvsnKTr6Qn9HGWPHoNXHGAzKjqq/WAMx+0sww1y8mIfq+L
yMSTANqCl8uIGj4tS05zUGGnnU1Jiz2YPJNzoY886pj3pLhmfplDZ+ztoC8OFpM5EF/4T/f/qyr8
q6rAJEV5q//5v/N7F9//9n+L+J8c3//xcf/wfHt/ac17QY8zU03+FTv4v4sLjvMXGgG6grD/7kHk
f/1DXNB/UaBM3gX9wHEwvdn/3EfF/1uVB4wYmtuu/B+5vnGZ/7O8gIMcscJxCCsq/jG9f0lDuh1m
2cVU6Rra/2Y0Vp6WsGt2+Bhgjwx6kiwXRgjFfamurAxyRj5Il9WaqtlCevI9tfPhuhzW0t9MT/R3
WNFwCovIPoumzQ56qr85NfQuW/nJy6b8kJKsyEYaVYhp5Yc56D/tJbwJWcQ6/VJBNU7y4c5x2lOZ
Q59m9jRwdq3HeddO4+/W9F7FIsEyBwSJ5uTarqJfkz72LjhqfA1WWR37zr43s37XRK4PmBrDzo0c
1Vvsxju7Tg916p4Xt/rVzXCZg/4S1UQyjHkHuvZOTROlEb1O2HUhjC14uawsAW6abRvri+UCB4fc
2piwG9hnm65qD8lS7DpJpWgSnGLF1YUEp/fJfjiwfTONwyV76OtfKlxekraBSx+pN0PZ8lR3yyvJ
ymwfNzV+mOEwlMSahnAAdWM1Jz0X6WEg+ilafT1Fzdnuo8epNu/yGGJznqlHbVBX7OiZLTbxTcYX
DDpP8Xhh1MVJcdgZ5o1t9XsW0FOj8i3Ge2oxnuecDWCOB+Oac/e2tspDB5FDS79IC7xmwTvtKeBb
461TDdyD++E5H3XrJwF4GGkCmJS0jiD9D3jmMADeVEAk2RZrzEzwPE9FwSOQQtCx34uY4Hy9yHtC
lNMHpy9qwfuZG7V9PWsmjShfCTt0RPQJRlAEMmVTh/anFA52EBtSFV5+51BPyt50nU2pRZeNe0IH
xcNcxg9OuLedU1KM64GxxALBcHMTgTe7hooyPngD09I6DtSdaqb5NWzN+ejNgCBmY2ayHE77TDNd
58Ql6QyagvdKBleBk1mnASPNFSLycyXGN7N2x5vGauMTgdT0LIouAc5fP7HhwXPjT+M/b7f4P1Pg
NynDKfMWIffYYGRl7H+txgl7QdCCuS+D7CbtCAvIJDml8dDurEp+LF3xG4cy2n/BWI9o4bNt1Dcl
HB5OMMwb94xfyydISX4gppdRY/1kE833pecOfspkKuMksFdGZV3CWW8SgD8QNS7Q5332pY0Ybbia
I566YdQ+QxCQQ+QWO2vFKBzbkTFftCXtxpgpb7s7J01/yjF7LV0uL4RjZ/wv3c2c4A+tgOyT9tXm
Lw7eGxt8WSzaC/HR9tCM1Io5o3XkwPNo46Kmp7F5ACaKlPazjMN7A+9uY0bxqWrrA43dAKlscsW9
wJz7SW3li6Bj63txQucmsjhRl1zZLiHACpNvwMRVuWRJDxvvWJZPROU2yp6+SVxtArVSmd/gPTwC
TuKLol1A0SblBa98wGZONAUSC4RfqakrZftt/IRJWcoDQEXIEx7kbMPxb7NUx6DyLg5XNx6P3odE
tFMDuFNygzwumwKH9aazvhY3fRztOOXQhybXeG8ObR58HcK+r4U7HpZSxb4Ck014uJ5pmdCX2Zjg
vBJt8+0or/YOZo8j8QmYRIsDe8plnItiG3ykYb+PaJwKM3kKgl9dP8AGAmlWy4T7TLazu2pvTXCd
Ww6b9XJGjjqaWCDpIU8BAofkfG/l+JY0+27AxyKy6rpNeKLqBJz2jNNqPAfZeN3FuDPQFHFFYZS0
v3KjuOEEeOib7BDj68rbgCaCfm9EREZrcW5lDfpz2sLJ2MERzAYYqFl4H1Ox6KfleBYM0PHXLY/l
UF+K6bPW6TVVPzfSK9+mTOEZWs46ZkCYpFcFqRc/SCgnjydmlNqOOefFDxyuWSW00R5zB5ipMJm0
RmPGwN55ikpqxgvJlU5D+K2KxzzxzvRybmvsCngS8cJSrtUyUzJVv0szfUx0RIR4ZtYyJ4yluAQ3
kXNC3X1WoftIC72fek518WpKXgr0LfiApePbWKCZdfPE5npMjpC477vcuWtycajb7pnWgeQWwN41
90Jswa/uEvjSaD/DaTzU9nKDZfApLOWZuntjY9nTk8ZosHGG9kFwIiTNQ9NcS2V46P2esC7m6XKT
WckDOYaaGgFo0V6n5SExznL9CuhB25HGQWlq1CHJACHyweQmoptRAg1WuhX+BLzKiaCdCbfc0OK+
lUX1NIDZw6U+1znksAEiqckDN3wtc91dmI7dIUfPW80LsVeF9UrJDkhaarmkBHhsQfDGQwAK8N7u
4oPZv8ason7Pyf5kNs3dPPenBt9EwHF0mH68MQGMQ7sBLrvrDnp6M66M2l6c8XWenYi3kWPslSvk
LaYunyN34sfmiK0BYRMg6X3fknaggsWPlfgpWnov7Nq+EECyj3K2nyJEzz61bz1qazYaEK50SnMj
xXjGC37uPOBzZZT7laquujp4WZIIS7A+lTjM60Xvg8JG0NPH2bO8HXV+7VUElGBnEGW+dqUNQa6z
3swA+7PbdOj+TEotL+c9Xfb09+6yOHgKmughWcYa9zRqZ6gwTNA9K8T0pcL2BTL43RykHylPszn8
eB78HA5MNP/NF9WuF+e4uhFj2IGeDtBpG7SWWVvyyDeWo6bSptfS2tmq8T3TS3Oj8lofUKLOriU3
LtLzCeOZ99LTu8R19ImoAxx/THiXXBnaH8pJsJ5pQW9R17xUELzAQDi4s9XFIW80dgw5VJ+YB6uo
9ZWMQjCv2JWbqn+tvbUhJlqvP1GuvYekDC5EYex9XfFDnFLX3fO4ix1IzNgvrV+8LcsWKvANCLYb
7vvQoTW/xhwAHIyU9oSA5r3GWn+2XKuKkXQX7siNyMzHvE8vwvHKTzMN3IttMGCl+vkwmWLbCHPw
A2QwloJw76CubqjGEmhnbn49atfwdSl/9wxz80wUO7fBZWnM5pWxpI/w50hZBxOIuPqpy63qOGUk
1vFCDgrd2GMleEL7vjQj0WGQ9N3Q34guTK4oiCRRZGHfDVMqA/7uXpDGShTmBO83szTP8fQc6plq
BXzFsdFj+ZbBuKX+c9xTh0cpgQ2nyXJWyn0MzZk0/rj/A4b/U9AgyoamgT+1rkwbsYhOzFtCPkIk
EOJTA9R/atKKkK7Ip3EBE5v2Nu1f3Hz3qZrIF4FVvHYHb4Xr82F//nAJEPockrgGNUVnArVW9FgQ
xkCxTyrz/W9i/wqN/zMYWnsoTCfcTUHM4Rfsi89PkfRUCNn+z1+Lp4lPEvBTSJOV9d8wDp/bwNxi
n/sZmR/QLLB+NkjX01PNLLDfAFvSlyGOqeHq83scOj7liudwYZoTEmPpZ+/YMfymhzWNkMaXknGU
kZhXpolAifvdOZsKMCySIqtbjM9RyuauMfJnzHEv+OZrHpWEok+cIcQIoTp4S/khVAmfCzJWiW2y
nMPD6JYPojZPaENiK5p43Lsyo2Wvbx4NJ711jerMrPZQWetWjw96i3x3U3nJfrFg19mk8BbmdTg7
3tuxejAse0BzlOMVNe/xPl3q+QhQBL5HqR4Xy7zPCI7stDE9JiK50VF16+bhfdam1w6Gpy1tusGV
PbWQTGFhbWF5rvAJ3R+5s32Qk9WADelzY24J0qogu6Sd4AeTOB1byXTR0pt3dpj3j0KR1Mg4aB5y
yOAnIRNGJEuWPwYi/eJJwuajYTiMY2xv+8ABY4bicSmV7LeVnFF7K2D0nr2nfbTe1iJY192QkwEw
jw1BXZ4Wl8LSIYoPCh7kEgZnyJvxdiC/u6PFrtva8aCuac2xt2VPUoXJqJ+4HzqxvhI62v1Jh4tf
9OU3edz8m/SrDSm4DW487L336MrLjVv3o597FMjA7D2mRIIpc4roMs1nnxfQ5CQfRL4YLe8GZP3E
qQH1ltVxvK2cIoEfEcd+QTvGsJEq97bEYfT1agjKoIEc42hO7uQg9d4IZLb/+5Wt5+whzdlzEOLx
0Xfu2mRCvW0KU+YqFADNmr7n9TCr9X1veJYhpU+vICo4d2eBjQvMaUGxLby7VmIFt2Fo40OiMo8P
z6BTEz2EfLaQ3NkFcMVnTqsEEq0BileZk+v7s0L8gVu3tdGe0mXkb6PxCj+PR4dI2Oc0J5Aig/DB
QP7JYqQExmQiDDjSL0tti6mAP4y85IuxHNumJTQ5ztYz8B10y7QA7qZpyHqmL7k6T0xVjsUAOftP
xnAw+YwmaZUz8L/ogR5aKhaWCoCY1gHYMI7aZPVGykusgcil1Y6rlanGZsRzCrxaEFA+/L2UpSO6
rdXSqhimZu/5Yll7K0xsUH+Wq1D3/FT+/hJRMijGKPvmLS1hzSXgHr5hWPI1zYzUSAHxuIkMPs2m
VSYJrbYU1nOvO6Pa5nHvfkLHJRkZSetZxKyzNEMovFtjnmfm/u/FsGqnL6JApl+GXnZIVcQY+09P
jxBWhZYeYiJz1n8L4iE4/FkYrWZ1lmUDny8doVxD/18/StSssCXJ83j1vEPwLfVAFhTszjmENPIE
ypuPIP8S8e1ylWp45PndFI9FHpccx0vxPrgeZbiVNPAcT0QJoq7IBTeCJGCanPPnxzqnIoFdTKGr
FnA09s3CPkHyn56DFurTFft0Qzdmb0Kq8eB2aip1gYmWleZOz9qlMs+9cyLJZhzlkbGbmLFHfsLP
6cqkiBSdtzeWC93Wy6MN+x6FAplyu2B/OmJkjuRGh3Xp50sqPhbEzvM8mMaOSWJ/FotJfYGph3xT
Bam+p2yiIVSWetmbDSETixo3K4Z4ohzfCGgbLzpCiG/m2GBdL8f1Ur9ofWpMI77t6W3C3V2b3XuL
BEpzAt0jZ6XNRfNKJ8URG4LuHzxCjPMhHw3nqWYKug35Y1vZMf/bkL70frQ5j1+ym71zvxY0MBJ9
R9BY7uJhAKrYcifwgflOr2SU0IiTRD+MkRIJ3UlRdGjKJDwFobLsjRcL86ojhnmp8kTHuypR0t65
Zh9stEuQD6G7Mo6Q2JJrrMxNy+9J0cXQWWAJaquxD/Afs5dh9qSv7Ki/yBYneBiFwQEuWdVtrarP
wG5lROgcue4/5A3gUfVUGScYNmVSeV9LEnL+ZrrnnV0d45no8OYB5R3qSO2ZhrdnOTbjLS/9hBdc
VS+D6MEPFmpC/prQlZIwCYut6nNCjw0mMTUXxrlvmxJsDCfGm8VelnOJ8nQmHeHe8czNl3nCQSi5
8zPrZnq1cPMVRY6LXiB8xLF46an3GDd8e+CicUysbdhNcG/12A7CYUC1gs/P7CfPBlBds1d/O9ZE
aeaQutRDmVXLSVomF1msrcvQswqcJGgeya6cTeOZ/wx/Ebwy31DBm3aLP1J/uw4lmox9bPcV2pfz
xOPpXGpdMgoLYLpiMtX3OdyF8yjk/Ni73gyNRQzVyRyj6jVQhftigBL7XsVJtMHadIh9ZjIiNMu4
wbeXIPoCnMh1Ax8JPZxWk1VPFZmn5oyzxbj0bpw7m1i27VcwFen1nEkOxggKO4MQ99dg8ptcQCFd
MjLR7orcrc2vwQq4PbCa+ebSqJM0Lb1fJsfbu9DeL4yC9Y+WBOonj6uzNxf8DopxQJHs08m3hAsS
wLbsI6R5jzAj+rxYrOSMj54rpCsoYcxH0gCqynN6Qkct7monpIUZEkBz5GqAeZzA7Q2y4EY5fDAw
/2s7Cz8HPtc1D5eDQTToEPQ776CTkgTLQkTtmpnIashMwOPFJgchYD6+dGV8VRpTA1JTGncBEGJ/
qVw64iVHcCG78V4qlR9nMbq4719tTLxv/Ogbv2jK7JI7miH1Ehowh4FT7Xo30+cYDerIBO1LGZx1
4LECJJNDfoIORNghmvT9CDa83hCJowbRVNV1EDGKaUaCoJGmhjezi3Zv58H0uAQzx9dsxXRrN39u
JQFaWYv+ATZrjduD9ZqLKoPU0gtQCEKMEoQnhmscWHQDluHXuOLhRKxc/Mng9f2BAoWbOLK4CLQK
aFuAFZ2BLEhkv2lCsY1YQCHIoSJ0ag7YoZRBW8poEKE1ip0QyXSs1dje2iN1hosulu8aB+lRQp04
27alyFv2xhZanHGJgQX9pm0ZVAaI3JIXpBpf65Ew8ipKOxVhj1ytomdlzuEnDC9+nBNrVkPO6tYm
U2PS0pg3p4wZ4xVh1O7IggAzNA9682pYvLg6KJIthBi4nX5kFCaBhVMYAIaxyKsDOa/oK0lX8qdK
iEEW0eqSNisEHsuwgfpjDBl+lm6h89j0NE3hAdT79Um0pjNriXlkbm89eOTvPgrpwv/TZuVtZRZ6
T4YryK003lReF27uMh3rPPdEUQI9nQUU6pe209YP10RFfyuR90OlgKdPpC7PmcJk4xN7saZ9A0UG
pUxV4qf3Iq7GrM5zue9YbYkMUDLwwWg2/Sz1uCa7c35Azcx+BjSemkoizNNlqG11XuLSeB5KRgo9
tpsHC58EqlIO52ibTklwM3RBfUM2JtyR1B0gQNCL8f+oO7PltLE0jr+KK/dyaUeqmk7VGAQGgvd0
OrmhsM1oXziS0PI2XXPdT5EXm5/ApI23yYTUTA83Llv46JxPR2f7/ouDmkyOqbvdanofdcn6S+Ot
q89u2sTXJPA5quc9vEY/hekP5IP2q4dYWEh5sjFoBB43UHds8G4uluLD2F6VHyTVt5waKJfo40/p
AcBHpuAij8rCYsHZpF/moREC1JBNd+aiK3+ZmkWGDpNiYSfTQEz+UFmtdYOr7fwLngKA7+F3DVSl
l53bWMWcJqvoOo8MZZp4KE35dgVuyLCQcc20lQqGLlp9mINVAHxn1y7yaUaxuqk4bxv4wlvnwNCz
euiVEsqIc+igpyKS0dMKybWe11pVXwaS3LG4wtq9Tr15eIO0/vq+ZlyOOVasA+jKDa6ZTB4Sp28t
aPrfGEioSMtsAooDyOgwdSH+gl9P4zW4srC+bSoXh80eauT9Gs+nMZ7XE97WzHMkO7Xh5pgquiGr
MpPvWYiLU32F41IWIeLnkG2CUpDDJbx0cyhKJxUy5L+CL/Fm63VPGtSAxyaKjdGZn6/HcmmAMImy
OhmRDdaHdDJloodqiyEOyc6LWjHY0YnCvVDYKfkcGSQ6b6BRonGiYvjtceIxIJEM8lGyOKtBARsp
Is0X2KoWLtzUubX0Ug+H9KbJjXMOTJg718JXztj8Co418TxiC1eaZAKSgFPifqgn/rSGcDNCyCVy
ZHxg0TnOmDQzewqGQQUHoRfJFdoikGEz3eCcXggDKa6gckIvla5SHViRXNQ40AMSnBqJ3aDBrw2K
2L1h/LosJGgVkskZum+0EzPEPr0JGmug+qZ7H+fRx0ZtBh7A/RnJhtUg7EliVupC+1yRzMBkFDJI
WczNE29lXFW5N5aylWMDS52sGdFtJh5J9S5hNw1jCZtWMp9Vrczc1DvnEIQzn3DukNNzYhGOkcAP
B3NT/+SlEHxkoBoocXb57SGa8J+zeW8qMqwqGt7YES4qVj/xmu54C7olahljO8gR2UCIX6hhOwoN
2XeCJG3agQAhKlzbHEppLz8zirRxcC1Bwkgv/E/CildflExVhxWskFluzuegPhDnQBdE6KetZGLc
BZ9C/geKQtkZvZZRSkcLFDpi+1EFmjYppQRtecXrlZdCWyfXFiANZ5XIMN9aA01Avb2ByzntkdHo
k45iG4bwidNGlT4N1/PfIGvHyMpKNWDFEkverA1UNoJBOGM/z7oVit3YjREJFUJEA0/DtcwNUIUs
ZKwU16xhJj6M3IENerMYeVBBr6RUKe9J/6acpZMnqb1KjFJdtcg0ANhkO6hNYaQ0s0xz8zPQi/Bd
dWvduxZrs5yGXq9lpVn37nqQl4b5SoUcwZqzb6Y4aQDoifBky/yhrbfmraRAjQPZHYG7hbdrR3Iw
ER4kcimXbda/oflJ0z3VadbrdhwlnjnUG3WeAOwt4svcCBQsAKTSUVR0bOLKtk6bxiw+SvNaG5aS
Zt0hZ1XM4lVjn9dqEXIkE3o3PXZ3S7nWOAbNwyqfRZkiOwUOpxPDSo0PFc7CAH3juB5FHfVHVhLf
aUKDbXPTdC5qwAmxcSPlJAI5/Ax+JRpi6+lewNDnWDBrIwcnCrRgU5SxkNSSLsiXaQ5MKvsSbXSo
6uRHSZxo2Wk0l0ynNbtjEbMIJ3Nf/5zigTcCigiEu668ZeAKC3clq7kCqE5HijJJRcByrS1WFpGr
tWw+xpc77OMULK7dxpTg1oRUKIXvrwRNhksGyDuv7YHrYDz7IHmbQygd2j6K0DiBzkn8pbItziOS
bh0Bv1JJWuhN2weFjUII+DAEDBDd8U48NELGnty0Q+A7EHHDFb69rKhuy7m6HmDTmTlg4trbAJTW
OAD4PLM52zoN6pU09bXGc1QzkR3wNNUU0kg1Jv2Z9zer11jT21PssNovtUTSuCaFf9WCojsps6Z2
VnIgbmzAlkM0pUZs0YMpQkYW+ShbG5G+Kem7CBKz/lwjZimVRARlk17R66vIzE16WRZfIsBSYGRW
9z42osXKJPZcDI50fMXwfieb6cHTWzMTjtW4tpOTwtXcT3UTWNemBLfmxCixUEuRgjzHxtU/CyK9
QpjIrtRxMq9S8X8sQPigmjhYFAsnKfyiuSyXorla5mVU5O//ttXS7q5eQIwqbtIf+9LbBT3oFt40
2fKXdwtY+cnAz4vnIBddNnpPFdE31drU+a1SogVNK+8pHqjCsa4BZrdlEEqbz7ujKE3AiG+v6/ax
agFrRIbq23VgNY/i9Fok3m7kNqRvf2evCXdpSc6ZR+H6abJHCIJxswf0eSUGTwp4FAMFEtHmI1PU
48Yb2rEqd5+eufnRXf+fNP7VXqDalqp8X/uflPGo/ap2bCAyYqJTuW0mJT4OA0wqU2V8tJAY3XwA
Gf21wqDBI/vObvB6GBT72FaYBWRFfzkM2jF8F5PvaNvrW+baf/9VeNKE5WagGt//8k7tkGqH9gZN
PpYxTaRn7fcCQzlG+BQtIKRMN5+/4MvACv7Q5qs9hFlti17Aj81nPwy6dWxAC1Rl4z/vBd/RVb5N
Mn1Qafeb6cVfAvl/Pgu99oXdmPr8+sN42vUU7U+ris33uslme+ttb+p+f7/XzzZD/qOLuyng8b8/
tO/5nV+s0+6Pp/5SLMSd12xa2zzU8mwRMz/9/U4sHw/28Cl3v744P36bCN4sNFq46SLfFdTFgy0E
3f3P5j2beL+v4HjRpsmTkklJH17yycLbx6qCSO1YsJtX/8cjMVzeE/vo6MUFhkInOfgOTp59/UP4
RXp0vWBftytwG3O9Y8se2oZR6n/9ff9hqhublkMLni3EIvG+/nOv0uC/fkalZwsiQvIDKeOje2JT
RrtAbMZx6MfwhA9vwLeb7Arbls5qZveHH+87Fwuxb7cD6rVz6Dm01pS7+PrH7R4yWzXUn/F+XixF
sohvy7v9R4qHzE+I9pXPo1weTRYIJoj9G6DH/RNGl+4GI7okN6HLnKWi2Bsau8m/0ys/cEjYv8vT
jrldYBx6j24oWBz12UYJP9l/0PZmCj/4Bry1RxcLiGq7gGw6/naxfHDhS+H62V7sWRSB5D849jfp
HZHxk73RTEPQnUXdobV+3R7rwA4z4xHmRyPmEX+/3ts1+aH1fl0B4sB6X70u+X9wyW+SSw4svRsf
k/2R19YezgIODXZ/+XRQtzVTAxHw7/rfSyu/b6cEz9eDu93/S/+2v9btvnEXUa33/wIAAP//</cx:binary>
              </cx:geoCache>
            </cx:geography>
          </cx:layoutPr>
        </cx:series>
      </cx:plotAreaRegion>
    </cx:plotArea>
  </cx:chart>
  <cx:spPr>
    <a:solidFill>
      <a:schemeClr val="bg1">
        <a:lumMod val="95000"/>
      </a:schemeClr>
    </a:solidFill>
  </cx:spPr>
</cx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dk1">
            <a:lumMod val="50000"/>
            <a:lumOff val="50000"/>
          </a:schemeClr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75478</xdr:rowOff>
    </xdr:from>
    <xdr:to>
      <xdr:col>6</xdr:col>
      <xdr:colOff>299356</xdr:colOff>
      <xdr:row>27</xdr:row>
      <xdr:rowOff>31216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88C4C03-C05D-4137-8868-A39DACFB1A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0</xdr:row>
      <xdr:rowOff>174650</xdr:rowOff>
    </xdr:from>
    <xdr:to>
      <xdr:col>6</xdr:col>
      <xdr:colOff>299356</xdr:colOff>
      <xdr:row>13</xdr:row>
      <xdr:rowOff>130388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A6BFC88-2C37-4BB2-8268-90998A2B23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448235</xdr:colOff>
      <xdr:row>1</xdr:row>
      <xdr:rowOff>0</xdr:rowOff>
    </xdr:from>
    <xdr:to>
      <xdr:col>10</xdr:col>
      <xdr:colOff>1008529</xdr:colOff>
      <xdr:row>27</xdr:row>
      <xdr:rowOff>44824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Chart 12">
              <a:extLst>
                <a:ext uri="{FF2B5EF4-FFF2-40B4-BE49-F238E27FC236}">
                  <a16:creationId xmlns:a16="http://schemas.microsoft.com/office/drawing/2014/main" id="{D4F1DB91-F957-4DFB-9019-556B40B15A2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83475" y="182880"/>
              <a:ext cx="4682714" cy="479970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1</xdr:col>
      <xdr:colOff>1361</xdr:colOff>
      <xdr:row>27</xdr:row>
      <xdr:rowOff>172193</xdr:rowOff>
    </xdr:from>
    <xdr:to>
      <xdr:col>3</xdr:col>
      <xdr:colOff>1115785</xdr:colOff>
      <xdr:row>37</xdr:row>
      <xdr:rowOff>163287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7980941-7CBE-477A-9B82-228DA7E6D3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1259280</xdr:colOff>
      <xdr:row>27</xdr:row>
      <xdr:rowOff>172193</xdr:rowOff>
    </xdr:from>
    <xdr:to>
      <xdr:col>6</xdr:col>
      <xdr:colOff>1061358</xdr:colOff>
      <xdr:row>37</xdr:row>
      <xdr:rowOff>163287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75757F21-4FB1-4D76-9511-D0DFF32971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1197429</xdr:colOff>
      <xdr:row>27</xdr:row>
      <xdr:rowOff>172193</xdr:rowOff>
    </xdr:from>
    <xdr:to>
      <xdr:col>10</xdr:col>
      <xdr:colOff>979714</xdr:colOff>
      <xdr:row>37</xdr:row>
      <xdr:rowOff>163287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53489FA-9FAC-4DFD-8853-06A7FE3C5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</xdr:colOff>
      <xdr:row>1</xdr:row>
      <xdr:rowOff>95250</xdr:rowOff>
    </xdr:from>
    <xdr:to>
      <xdr:col>10</xdr:col>
      <xdr:colOff>489857</xdr:colOff>
      <xdr:row>35</xdr:row>
      <xdr:rowOff>54429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3566713-021E-4182-AB15-D2123FC89B6C}"/>
            </a:ext>
          </a:extLst>
        </xdr:cNvPr>
        <xdr:cNvSpPr txBox="1"/>
      </xdr:nvSpPr>
      <xdr:spPr>
        <a:xfrm>
          <a:off x="647701" y="280307"/>
          <a:ext cx="5938156" cy="625112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-- (Query 1) Receita, leads, conversão e ticket médio mês a mês</a:t>
          </a:r>
        </a:p>
        <a:p>
          <a:r>
            <a:rPr lang="en-US" sz="1100" b="1"/>
            <a:t>-- Colunas: mês, leads (#), vendas (#), receita (k, R$), conversão (%), ticket médio (k, R$)</a:t>
          </a:r>
        </a:p>
        <a:p>
          <a:endParaRPr lang="en-US" sz="1100" b="1"/>
        </a:p>
        <a:p>
          <a:r>
            <a:rPr lang="en-US" sz="1100" b="1"/>
            <a:t>with leads as (	</a:t>
          </a:r>
        </a:p>
        <a:p>
          <a:r>
            <a:rPr lang="en-US" sz="1100" b="1"/>
            <a:t>	select		</a:t>
          </a:r>
        </a:p>
        <a:p>
          <a:r>
            <a:rPr lang="en-US" sz="1100" b="1"/>
            <a:t>		date_trunc('month', visit_page_date)::date as visit_page_month,		count(*) as visit_page_count		</a:t>
          </a:r>
        </a:p>
        <a:p>
          <a:r>
            <a:rPr lang="en-US" sz="1100" b="1"/>
            <a:t>		from sales.funnel	</a:t>
          </a:r>
        </a:p>
        <a:p>
          <a:r>
            <a:rPr lang="en-US" sz="1100" b="1"/>
            <a:t>		group by visit_page_month	</a:t>
          </a:r>
        </a:p>
        <a:p>
          <a:r>
            <a:rPr lang="en-US" sz="1100" b="1"/>
            <a:t>		order by visit_page_month</a:t>
          </a:r>
        </a:p>
        <a:p>
          <a:r>
            <a:rPr lang="en-US" sz="1100" b="1"/>
            <a:t>),</a:t>
          </a:r>
        </a:p>
        <a:p>
          <a:endParaRPr lang="en-US" sz="1100" b="1"/>
        </a:p>
        <a:p>
          <a:r>
            <a:rPr lang="en-US" sz="1100" b="1"/>
            <a:t>payments as (	</a:t>
          </a:r>
        </a:p>
        <a:p>
          <a:r>
            <a:rPr lang="en-US" sz="1100" b="1"/>
            <a:t>	select		</a:t>
          </a:r>
        </a:p>
        <a:p>
          <a:r>
            <a:rPr lang="en-US" sz="1100" b="1"/>
            <a:t>		date_trunc('month', paid_date)::date as paid_month,			count(fun.paid_date) as paid_count,				sum(pro.price * (1+fun.discount)) as receita		from sales.funnel as fun	</a:t>
          </a:r>
        </a:p>
        <a:p>
          <a:r>
            <a:rPr lang="en-US" sz="1100" b="1"/>
            <a:t>	left join sales.products as pro		</a:t>
          </a:r>
        </a:p>
        <a:p>
          <a:r>
            <a:rPr lang="en-US" sz="1100" b="1"/>
            <a:t>		on fun.product_id = pro.product_id	</a:t>
          </a:r>
        </a:p>
        <a:p>
          <a:r>
            <a:rPr lang="en-US" sz="1100" b="1"/>
            <a:t>	where fun.paid_date is not null	</a:t>
          </a:r>
        </a:p>
        <a:p>
          <a:r>
            <a:rPr lang="en-US" sz="1100" b="1"/>
            <a:t>	group by paid_month	</a:t>
          </a:r>
        </a:p>
        <a:p>
          <a:r>
            <a:rPr lang="en-US" sz="1100" b="1"/>
            <a:t>	order by paid_month)</a:t>
          </a:r>
        </a:p>
        <a:p>
          <a:endParaRPr lang="en-US" sz="1100" b="1"/>
        </a:p>
        <a:p>
          <a:r>
            <a:rPr lang="en-US" sz="1100" b="1"/>
            <a:t>select	</a:t>
          </a:r>
        </a:p>
        <a:p>
          <a:r>
            <a:rPr lang="en-US" sz="1100" b="1"/>
            <a:t>	leads.visit_page_month as "mês",	</a:t>
          </a:r>
        </a:p>
        <a:p>
          <a:r>
            <a:rPr lang="en-US" sz="1100" b="1"/>
            <a:t>	leads.visit_page_count as "leads (#)",	</a:t>
          </a:r>
        </a:p>
        <a:p>
          <a:r>
            <a:rPr lang="en-US" sz="1100" b="1"/>
            <a:t>	payments.paid_count as "vendas (#)",	</a:t>
          </a:r>
        </a:p>
        <a:p>
          <a:r>
            <a:rPr lang="en-US" sz="1100" b="1"/>
            <a:t>	round((payments.receita/1000), 2) as "receita (k, R$)",	(payments.paid_count::float/leads.visit_page_count::float) as "conversão (%)",	round((payments.receita/payments.paid_count/1000), 2) as "ticket médio (k, R$)"</a:t>
          </a:r>
        </a:p>
        <a:p>
          <a:r>
            <a:rPr lang="en-US" sz="1100" b="1"/>
            <a:t>from leads</a:t>
          </a:r>
        </a:p>
        <a:p>
          <a:r>
            <a:rPr lang="en-US" sz="1100" b="1"/>
            <a:t>left join payments	</a:t>
          </a:r>
        </a:p>
        <a:p>
          <a:r>
            <a:rPr lang="en-US" sz="1100" b="1"/>
            <a:t>	on leads.visit_page_month = payments.paid_month</a:t>
          </a:r>
        </a:p>
      </xdr:txBody>
    </xdr:sp>
    <xdr:clientData/>
  </xdr:twoCellAnchor>
  <xdr:twoCellAnchor>
    <xdr:from>
      <xdr:col>11</xdr:col>
      <xdr:colOff>57150</xdr:colOff>
      <xdr:row>1</xdr:row>
      <xdr:rowOff>123825</xdr:rowOff>
    </xdr:from>
    <xdr:to>
      <xdr:col>17</xdr:col>
      <xdr:colOff>285751</xdr:colOff>
      <xdr:row>19</xdr:row>
      <xdr:rowOff>114300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553070A-26F3-425E-B1E3-F88CBB32060B}"/>
            </a:ext>
          </a:extLst>
        </xdr:cNvPr>
        <xdr:cNvSpPr txBox="1"/>
      </xdr:nvSpPr>
      <xdr:spPr>
        <a:xfrm>
          <a:off x="6792686" y="314325"/>
          <a:ext cx="3902529" cy="34194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-- (Query 2) Estados que mais venderam</a:t>
          </a:r>
        </a:p>
        <a:p>
          <a:r>
            <a:rPr lang="en-US" sz="1100" b="1"/>
            <a:t>-- Colunas: país, estado, vendas (#)</a:t>
          </a:r>
        </a:p>
        <a:p>
          <a:endParaRPr lang="en-US" sz="1100" b="0"/>
        </a:p>
        <a:p>
          <a:r>
            <a:rPr lang="en-US" sz="1100" b="0"/>
            <a:t>select 	</a:t>
          </a:r>
        </a:p>
        <a:p>
          <a:r>
            <a:rPr lang="en-US" sz="1100" b="0"/>
            <a:t>	'Brazil' as país,	</a:t>
          </a:r>
        </a:p>
        <a:p>
          <a:r>
            <a:rPr lang="en-US" sz="1100" b="0"/>
            <a:t>	cus.state as estado,	count(fun.paid_date) as "vendas (#)"</a:t>
          </a:r>
        </a:p>
        <a:p>
          <a:r>
            <a:rPr lang="en-US" sz="1100" b="0"/>
            <a:t>from sales.funnel as fun</a:t>
          </a:r>
        </a:p>
        <a:p>
          <a:r>
            <a:rPr lang="en-US" sz="1100" b="0"/>
            <a:t>left join sales.customers as cus	</a:t>
          </a:r>
        </a:p>
        <a:p>
          <a:r>
            <a:rPr lang="en-US" sz="1100" b="0"/>
            <a:t>	on fun.customer_id = cus.customer_id</a:t>
          </a:r>
        </a:p>
        <a:p>
          <a:r>
            <a:rPr lang="en-US" sz="1100" b="0"/>
            <a:t>group by cus.state</a:t>
          </a:r>
        </a:p>
        <a:p>
          <a:r>
            <a:rPr lang="en-US" sz="1100" b="0"/>
            <a:t>order by count(fun.paid_date) desc</a:t>
          </a:r>
        </a:p>
      </xdr:txBody>
    </xdr:sp>
    <xdr:clientData/>
  </xdr:twoCellAnchor>
  <xdr:twoCellAnchor>
    <xdr:from>
      <xdr:col>17</xdr:col>
      <xdr:colOff>478972</xdr:colOff>
      <xdr:row>1</xdr:row>
      <xdr:rowOff>123825</xdr:rowOff>
    </xdr:from>
    <xdr:to>
      <xdr:col>24</xdr:col>
      <xdr:colOff>95251</xdr:colOff>
      <xdr:row>19</xdr:row>
      <xdr:rowOff>114300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1A4D350-E21D-4F46-82A0-236CC41D5F54}"/>
            </a:ext>
          </a:extLst>
        </xdr:cNvPr>
        <xdr:cNvSpPr txBox="1"/>
      </xdr:nvSpPr>
      <xdr:spPr>
        <a:xfrm>
          <a:off x="10888436" y="314325"/>
          <a:ext cx="3902529" cy="34194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-- (Query 3) Marcas que mais venderam no mês</a:t>
          </a:r>
        </a:p>
        <a:p>
          <a:r>
            <a:rPr lang="en-US" sz="1100" b="1"/>
            <a:t>-- Colunas: marca, vendas (#)</a:t>
          </a:r>
        </a:p>
        <a:p>
          <a:endParaRPr lang="en-US" sz="1100" b="1"/>
        </a:p>
        <a:p>
          <a:r>
            <a:rPr lang="en-US" sz="1100" b="1"/>
            <a:t>select	</a:t>
          </a:r>
        </a:p>
        <a:p>
          <a:r>
            <a:rPr lang="en-US" sz="1100" b="1"/>
            <a:t>	pro.brand as marca,	count(fun.paid_date) as "vendas (#)"</a:t>
          </a:r>
        </a:p>
        <a:p>
          <a:r>
            <a:rPr lang="en-US" sz="1100" b="1"/>
            <a:t>from sales.products as pro</a:t>
          </a:r>
        </a:p>
        <a:p>
          <a:r>
            <a:rPr lang="en-US" sz="1100" b="1"/>
            <a:t>left join sales.funnel as fun	</a:t>
          </a:r>
        </a:p>
        <a:p>
          <a:r>
            <a:rPr lang="en-US" sz="1100" b="1"/>
            <a:t>	on pro.product_id = fun.product_id</a:t>
          </a:r>
        </a:p>
        <a:p>
          <a:r>
            <a:rPr lang="en-US" sz="1100" b="1"/>
            <a:t>group by pro.brand</a:t>
          </a:r>
        </a:p>
        <a:p>
          <a:r>
            <a:rPr lang="en-US" sz="1100" b="1"/>
            <a:t>order by count(fun.paid_date) desc</a:t>
          </a:r>
        </a:p>
      </xdr:txBody>
    </xdr:sp>
    <xdr:clientData/>
  </xdr:twoCellAnchor>
  <xdr:twoCellAnchor>
    <xdr:from>
      <xdr:col>24</xdr:col>
      <xdr:colOff>274865</xdr:colOff>
      <xdr:row>1</xdr:row>
      <xdr:rowOff>123825</xdr:rowOff>
    </xdr:from>
    <xdr:to>
      <xdr:col>30</xdr:col>
      <xdr:colOff>503465</xdr:colOff>
      <xdr:row>19</xdr:row>
      <xdr:rowOff>114300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9B0CCFB6-0FFE-4D07-A857-E2431D34FBCC}"/>
            </a:ext>
          </a:extLst>
        </xdr:cNvPr>
        <xdr:cNvSpPr txBox="1"/>
      </xdr:nvSpPr>
      <xdr:spPr>
        <a:xfrm>
          <a:off x="14970579" y="314325"/>
          <a:ext cx="3902529" cy="34194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-- (Query 4) Lojas que mais venderam</a:t>
          </a:r>
        </a:p>
        <a:p>
          <a:r>
            <a:rPr lang="en-US" sz="1100" b="1"/>
            <a:t>-- Colunas: loja, vendas (#)</a:t>
          </a:r>
        </a:p>
        <a:p>
          <a:endParaRPr lang="en-US" sz="1100" b="1"/>
        </a:p>
        <a:p>
          <a:r>
            <a:rPr lang="en-US" sz="1100" b="1"/>
            <a:t>select 	</a:t>
          </a:r>
        </a:p>
        <a:p>
          <a:r>
            <a:rPr lang="en-US" sz="1100" b="1"/>
            <a:t>	sto.store_name as loja,	count(fun.paid_date) as "vendas (#)"</a:t>
          </a:r>
        </a:p>
        <a:p>
          <a:r>
            <a:rPr lang="en-US" sz="1100" b="1"/>
            <a:t>from sales.stores as sto</a:t>
          </a:r>
        </a:p>
        <a:p>
          <a:r>
            <a:rPr lang="en-US" sz="1100" b="1"/>
            <a:t>left join sales.funnel as fun	</a:t>
          </a:r>
        </a:p>
        <a:p>
          <a:r>
            <a:rPr lang="en-US" sz="1100" b="1"/>
            <a:t>	on sto.store_id = fun.store_id</a:t>
          </a:r>
        </a:p>
        <a:p>
          <a:r>
            <a:rPr lang="en-US" sz="1100" b="1"/>
            <a:t>group by loja</a:t>
          </a:r>
        </a:p>
        <a:p>
          <a:r>
            <a:rPr lang="en-US" sz="1100" b="1"/>
            <a:t>order by count(fun.paid_date) desc</a:t>
          </a:r>
        </a:p>
      </xdr:txBody>
    </xdr:sp>
    <xdr:clientData/>
  </xdr:twoCellAnchor>
  <xdr:twoCellAnchor>
    <xdr:from>
      <xdr:col>31</xdr:col>
      <xdr:colOff>84364</xdr:colOff>
      <xdr:row>1</xdr:row>
      <xdr:rowOff>123825</xdr:rowOff>
    </xdr:from>
    <xdr:to>
      <xdr:col>40</xdr:col>
      <xdr:colOff>239485</xdr:colOff>
      <xdr:row>19</xdr:row>
      <xdr:rowOff>114300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E97282A-12D0-45EB-92E3-3A39CF6A421C}"/>
            </a:ext>
          </a:extLst>
        </xdr:cNvPr>
        <xdr:cNvSpPr txBox="1"/>
      </xdr:nvSpPr>
      <xdr:spPr>
        <a:xfrm>
          <a:off x="18981964" y="308882"/>
          <a:ext cx="5641521" cy="332150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-- (Query 5) Dias da semana com maior número de visitas ao site</a:t>
          </a:r>
        </a:p>
        <a:p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-- Colunas: dia_semana, dia da semana, visitas (#)</a:t>
          </a:r>
        </a:p>
        <a:p>
          <a:endParaRPr lang="pt-BR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select	</a:t>
          </a:r>
        </a:p>
        <a:p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extract('dow' from visit_page_date) as dia_semana,	</a:t>
          </a:r>
        </a:p>
        <a:p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case		</a:t>
          </a:r>
        </a:p>
        <a:p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when extract('dow' from visit_page_date) = 0 then 'domingo'		when extract('dow' from visit_page_date) = 1 then 'segunda'		when extract('dow' from visit_page_date) = 2 then 'terça'		when extract('dow' from visit_page_date) = 3 then 'quarta'		when extract('dow' from visit_page_date) = 4 then 'quinta'		when extract('dow' from visit_page_date) = 5 then 'sexta'		when extract('dow' from visit_page_date) = 6 then 'sabado'		end as "dia da semana",	</a:t>
          </a:r>
        </a:p>
        <a:p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count(*) as "visitas (#)"</a:t>
          </a:r>
        </a:p>
        <a:p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from sales.funnel</a:t>
          </a:r>
        </a:p>
        <a:p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group by dia_semana</a:t>
          </a:r>
        </a:p>
        <a:p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order by dia_semana</a:t>
          </a:r>
        </a:p>
        <a:p>
          <a:endParaRPr lang="pt-BR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pt-BR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pt-BR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pt-BR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pt-BR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pt-BR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pt-BR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pt-BR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C916E-A1E2-4185-80B4-F277BBE3ABDD}">
  <sheetPr>
    <tabColor rgb="FF1C819E"/>
    <pageSetUpPr fitToPage="1"/>
  </sheetPr>
  <dimension ref="B1:G1"/>
  <sheetViews>
    <sheetView showGridLines="0" tabSelected="1" topLeftCell="A3" zoomScale="70" zoomScaleNormal="70" workbookViewId="0">
      <selection activeCell="P8" sqref="P8"/>
    </sheetView>
  </sheetViews>
  <sheetFormatPr defaultRowHeight="14.4" x14ac:dyDescent="0.3"/>
  <cols>
    <col min="1" max="1" width="6.33203125" customWidth="1"/>
    <col min="2" max="2" width="21" style="9" customWidth="1"/>
    <col min="3" max="4" width="21" customWidth="1"/>
    <col min="5" max="5" width="21" style="7" customWidth="1"/>
    <col min="6" max="6" width="21" style="3" customWidth="1"/>
    <col min="7" max="7" width="21" style="5" customWidth="1"/>
    <col min="9" max="9" width="14.33203125" customWidth="1"/>
    <col min="10" max="11" width="15.88671875" customWidth="1"/>
    <col min="13" max="13" width="20" customWidth="1"/>
    <col min="14" max="14" width="11.109375" customWidth="1"/>
    <col min="16" max="16" width="20" customWidth="1"/>
    <col min="17" max="17" width="11.109375" customWidth="1"/>
    <col min="19" max="19" width="12.5546875" bestFit="1" customWidth="1"/>
    <col min="20" max="20" width="15.109375" bestFit="1" customWidth="1"/>
    <col min="21" max="21" width="10" bestFit="1" customWidth="1"/>
  </cols>
  <sheetData/>
  <pageMargins left="0.7" right="0.7" top="0.75" bottom="0.75" header="0.3" footer="0.3"/>
  <pageSetup paperSize="5" scale="8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32F22-2A99-4596-8E95-DC3DA04C550C}">
  <sheetPr>
    <tabColor rgb="FFFFBE00"/>
  </sheetPr>
  <dimension ref="B2:U30"/>
  <sheetViews>
    <sheetView showGridLines="0" zoomScale="85" zoomScaleNormal="85" workbookViewId="0">
      <selection activeCell="M21" sqref="M21"/>
    </sheetView>
  </sheetViews>
  <sheetFormatPr defaultRowHeight="14.4" x14ac:dyDescent="0.3"/>
  <cols>
    <col min="2" max="2" width="12" customWidth="1"/>
    <col min="3" max="5" width="10.6640625" customWidth="1"/>
    <col min="6" max="6" width="12.77734375" bestFit="1" customWidth="1"/>
    <col min="7" max="7" width="17.44140625" bestFit="1" customWidth="1"/>
    <col min="8" max="8" width="7.6640625" customWidth="1"/>
    <col min="9" max="11" width="10.6640625" customWidth="1"/>
    <col min="12" max="12" width="7.6640625" customWidth="1"/>
    <col min="13" max="14" width="10.6640625" customWidth="1"/>
    <col min="16" max="16" width="36" bestFit="1" customWidth="1"/>
    <col min="17" max="17" width="10.6640625" customWidth="1"/>
    <col min="19" max="19" width="23.21875" customWidth="1"/>
    <col min="20" max="20" width="13.33203125" bestFit="1" customWidth="1"/>
    <col min="21" max="21" width="10.6640625" customWidth="1"/>
  </cols>
  <sheetData>
    <row r="2" spans="2:21" x14ac:dyDescent="0.3">
      <c r="B2" s="12" t="s">
        <v>13</v>
      </c>
      <c r="I2" s="12" t="s">
        <v>14</v>
      </c>
      <c r="M2" s="12" t="s">
        <v>15</v>
      </c>
      <c r="P2" s="12" t="s">
        <v>16</v>
      </c>
      <c r="S2" s="12" t="s">
        <v>17</v>
      </c>
    </row>
    <row r="3" spans="2:21" x14ac:dyDescent="0.3">
      <c r="B3" s="8" t="s">
        <v>0</v>
      </c>
      <c r="C3" s="1" t="s">
        <v>1</v>
      </c>
      <c r="D3" s="1" t="s">
        <v>2</v>
      </c>
      <c r="E3" s="6" t="s">
        <v>3</v>
      </c>
      <c r="F3" s="2" t="s">
        <v>4</v>
      </c>
      <c r="G3" s="4" t="s">
        <v>5</v>
      </c>
      <c r="I3" s="1" t="s">
        <v>7</v>
      </c>
      <c r="J3" s="1" t="s">
        <v>6</v>
      </c>
      <c r="K3" s="1" t="s">
        <v>2</v>
      </c>
      <c r="M3" s="1" t="s">
        <v>8</v>
      </c>
      <c r="N3" s="1" t="s">
        <v>2</v>
      </c>
      <c r="P3" s="1" t="s">
        <v>9</v>
      </c>
      <c r="Q3" s="1" t="s">
        <v>2</v>
      </c>
      <c r="S3" s="1" t="s">
        <v>10</v>
      </c>
      <c r="T3" s="1" t="s">
        <v>11</v>
      </c>
      <c r="U3" s="1" t="s">
        <v>12</v>
      </c>
    </row>
    <row r="4" spans="2:21" x14ac:dyDescent="0.3">
      <c r="B4" s="8">
        <v>44075</v>
      </c>
      <c r="C4" s="6">
        <v>26</v>
      </c>
      <c r="D4" s="6">
        <v>5</v>
      </c>
      <c r="E4" s="6">
        <v>259.29000000000002</v>
      </c>
      <c r="F4" s="13">
        <v>0.19230769230769201</v>
      </c>
      <c r="G4" s="4">
        <v>51.86</v>
      </c>
      <c r="I4" s="1" t="s">
        <v>18</v>
      </c>
      <c r="J4" s="1" t="s">
        <v>19</v>
      </c>
      <c r="K4" s="1">
        <v>2463</v>
      </c>
      <c r="M4" s="1" t="s">
        <v>24</v>
      </c>
      <c r="N4" s="1">
        <v>715</v>
      </c>
      <c r="P4" s="1" t="s">
        <v>29</v>
      </c>
      <c r="Q4" s="1">
        <v>56</v>
      </c>
      <c r="S4" s="1">
        <v>0</v>
      </c>
      <c r="T4" s="1" t="s">
        <v>34</v>
      </c>
      <c r="U4" s="1">
        <v>340</v>
      </c>
    </row>
    <row r="5" spans="2:21" x14ac:dyDescent="0.3">
      <c r="B5" s="8">
        <v>44105</v>
      </c>
      <c r="C5" s="6">
        <v>931</v>
      </c>
      <c r="D5" s="6">
        <v>35</v>
      </c>
      <c r="E5" s="6">
        <v>1676.46</v>
      </c>
      <c r="F5" s="13">
        <v>3.7593984962405999E-2</v>
      </c>
      <c r="G5" s="4">
        <v>47.9</v>
      </c>
      <c r="I5" s="1" t="s">
        <v>18</v>
      </c>
      <c r="J5" s="1" t="s">
        <v>20</v>
      </c>
      <c r="K5" s="1">
        <v>403</v>
      </c>
      <c r="M5" s="1" t="s">
        <v>25</v>
      </c>
      <c r="N5" s="1">
        <v>692</v>
      </c>
      <c r="P5" s="1" t="s">
        <v>30</v>
      </c>
      <c r="Q5" s="1">
        <v>46</v>
      </c>
      <c r="S5" s="1">
        <v>1</v>
      </c>
      <c r="T5" s="1" t="s">
        <v>35</v>
      </c>
      <c r="U5" s="1">
        <v>5316</v>
      </c>
    </row>
    <row r="6" spans="2:21" x14ac:dyDescent="0.3">
      <c r="B6" s="8">
        <v>44136</v>
      </c>
      <c r="C6" s="6">
        <v>1207</v>
      </c>
      <c r="D6" s="6">
        <v>44</v>
      </c>
      <c r="E6" s="6">
        <v>2278.5100000000002</v>
      </c>
      <c r="F6" s="13">
        <v>3.6454018227009097E-2</v>
      </c>
      <c r="G6" s="4">
        <v>51.78</v>
      </c>
      <c r="I6" s="1" t="s">
        <v>18</v>
      </c>
      <c r="J6" s="1" t="s">
        <v>21</v>
      </c>
      <c r="K6" s="1">
        <v>308</v>
      </c>
      <c r="M6" s="1" t="s">
        <v>26</v>
      </c>
      <c r="N6" s="1">
        <v>581</v>
      </c>
      <c r="P6" s="1" t="s">
        <v>31</v>
      </c>
      <c r="Q6" s="1">
        <v>40</v>
      </c>
      <c r="S6" s="1">
        <v>2</v>
      </c>
      <c r="T6" s="1" t="s">
        <v>36</v>
      </c>
      <c r="U6" s="1">
        <v>5830</v>
      </c>
    </row>
    <row r="7" spans="2:21" x14ac:dyDescent="0.3">
      <c r="B7" s="8">
        <v>44166</v>
      </c>
      <c r="C7" s="6">
        <v>1008</v>
      </c>
      <c r="D7" s="6">
        <v>33</v>
      </c>
      <c r="E7" s="6">
        <v>2602.77</v>
      </c>
      <c r="F7" s="13">
        <v>3.2738095238095198E-2</v>
      </c>
      <c r="G7" s="4">
        <v>78.87</v>
      </c>
      <c r="I7" s="1" t="s">
        <v>18</v>
      </c>
      <c r="J7" s="1" t="s">
        <v>22</v>
      </c>
      <c r="K7" s="1">
        <v>233</v>
      </c>
      <c r="M7" s="1" t="s">
        <v>27</v>
      </c>
      <c r="N7" s="1">
        <v>405</v>
      </c>
      <c r="P7" s="1" t="s">
        <v>32</v>
      </c>
      <c r="Q7" s="1">
        <v>40</v>
      </c>
      <c r="S7" s="1">
        <v>3</v>
      </c>
      <c r="T7" s="1" t="s">
        <v>37</v>
      </c>
      <c r="U7" s="1">
        <v>5371</v>
      </c>
    </row>
    <row r="8" spans="2:21" x14ac:dyDescent="0.3">
      <c r="B8" s="8">
        <v>44197</v>
      </c>
      <c r="C8" s="6">
        <v>1058</v>
      </c>
      <c r="D8" s="6">
        <v>32</v>
      </c>
      <c r="E8" s="6">
        <v>2297.2199999999998</v>
      </c>
      <c r="F8" s="13">
        <v>3.0245746691871401E-2</v>
      </c>
      <c r="G8" s="4">
        <v>71.790000000000006</v>
      </c>
      <c r="I8" s="1" t="s">
        <v>18</v>
      </c>
      <c r="J8" s="1" t="s">
        <v>23</v>
      </c>
      <c r="K8" s="1">
        <v>177</v>
      </c>
      <c r="M8" s="1" t="s">
        <v>28</v>
      </c>
      <c r="N8" s="1">
        <v>303</v>
      </c>
      <c r="P8" s="1" t="s">
        <v>33</v>
      </c>
      <c r="Q8" s="1">
        <v>31</v>
      </c>
      <c r="S8" s="1">
        <v>4</v>
      </c>
      <c r="T8" s="1" t="s">
        <v>38</v>
      </c>
      <c r="U8" s="1">
        <v>5365</v>
      </c>
    </row>
    <row r="9" spans="2:21" x14ac:dyDescent="0.3">
      <c r="B9" s="8">
        <v>44228</v>
      </c>
      <c r="C9" s="6">
        <v>1300</v>
      </c>
      <c r="D9" s="6">
        <v>68</v>
      </c>
      <c r="E9" s="6">
        <v>3631.1</v>
      </c>
      <c r="F9" s="13">
        <v>5.2307692307692298E-2</v>
      </c>
      <c r="G9" s="4">
        <v>53.4</v>
      </c>
      <c r="S9" s="1">
        <v>5</v>
      </c>
      <c r="T9" s="1" t="s">
        <v>39</v>
      </c>
      <c r="U9" s="1">
        <v>4878</v>
      </c>
    </row>
    <row r="10" spans="2:21" x14ac:dyDescent="0.3">
      <c r="B10" s="8">
        <v>44256</v>
      </c>
      <c r="C10" s="6">
        <v>1932</v>
      </c>
      <c r="D10" s="6">
        <v>119</v>
      </c>
      <c r="E10" s="6">
        <v>7911.19</v>
      </c>
      <c r="F10" s="13">
        <v>6.15942028985507E-2</v>
      </c>
      <c r="G10" s="4">
        <v>66.48</v>
      </c>
      <c r="S10" s="1">
        <v>6</v>
      </c>
      <c r="T10" s="1" t="s">
        <v>40</v>
      </c>
      <c r="U10" s="1">
        <v>3480</v>
      </c>
    </row>
    <row r="11" spans="2:21" x14ac:dyDescent="0.3">
      <c r="B11" s="8">
        <v>44287</v>
      </c>
      <c r="C11" s="6">
        <v>2376</v>
      </c>
      <c r="D11" s="6">
        <v>142</v>
      </c>
      <c r="E11" s="6">
        <v>7477.56</v>
      </c>
      <c r="F11" s="13">
        <v>5.97643097643097E-2</v>
      </c>
      <c r="G11" s="4">
        <v>52.66</v>
      </c>
    </row>
    <row r="12" spans="2:21" x14ac:dyDescent="0.3">
      <c r="B12" s="8">
        <v>44317</v>
      </c>
      <c r="C12" s="6">
        <v>3819</v>
      </c>
      <c r="D12" s="6">
        <v>394</v>
      </c>
      <c r="E12" s="6">
        <v>21508.48</v>
      </c>
      <c r="F12" s="13">
        <v>0.103168368682901</v>
      </c>
      <c r="G12" s="4">
        <v>54.59</v>
      </c>
    </row>
    <row r="13" spans="2:21" x14ac:dyDescent="0.3">
      <c r="B13" s="8">
        <v>44348</v>
      </c>
      <c r="C13" s="6">
        <v>4440</v>
      </c>
      <c r="D13" s="6">
        <v>589</v>
      </c>
      <c r="E13" s="6">
        <v>33179.25</v>
      </c>
      <c r="F13" s="13">
        <v>0.132657657657657</v>
      </c>
      <c r="G13" s="4">
        <v>56.33</v>
      </c>
    </row>
    <row r="14" spans="2:21" x14ac:dyDescent="0.3">
      <c r="B14" s="8">
        <v>44378</v>
      </c>
      <c r="C14" s="6">
        <v>6130</v>
      </c>
      <c r="D14" s="6">
        <v>1073</v>
      </c>
      <c r="E14" s="6">
        <v>58987.79</v>
      </c>
      <c r="F14" s="13">
        <v>0.17504078303425699</v>
      </c>
      <c r="G14" s="4">
        <v>54.97</v>
      </c>
    </row>
    <row r="15" spans="2:21" x14ac:dyDescent="0.3">
      <c r="B15" s="8">
        <v>44409</v>
      </c>
      <c r="C15" s="6">
        <v>6353</v>
      </c>
      <c r="D15" s="6">
        <v>1254</v>
      </c>
      <c r="E15" s="6">
        <v>68274.09</v>
      </c>
      <c r="F15" s="13">
        <v>0.19738706123091401</v>
      </c>
      <c r="G15" s="4">
        <v>54.45</v>
      </c>
    </row>
    <row r="29" spans="3:14" x14ac:dyDescent="0.3">
      <c r="C29" s="10">
        <v>44075</v>
      </c>
      <c r="D29" s="10">
        <f>EDATE(C29,1)</f>
        <v>44105</v>
      </c>
      <c r="E29" s="10">
        <f t="shared" ref="E29:L29" si="0">EDATE(D29,1)</f>
        <v>44136</v>
      </c>
      <c r="F29" s="10">
        <f t="shared" si="0"/>
        <v>44166</v>
      </c>
      <c r="G29" s="10">
        <f t="shared" si="0"/>
        <v>44197</v>
      </c>
      <c r="H29" s="10">
        <f t="shared" si="0"/>
        <v>44228</v>
      </c>
      <c r="I29" s="10">
        <f t="shared" si="0"/>
        <v>44256</v>
      </c>
      <c r="J29" s="10">
        <f t="shared" si="0"/>
        <v>44287</v>
      </c>
      <c r="K29" s="10">
        <f t="shared" si="0"/>
        <v>44317</v>
      </c>
      <c r="L29" s="10">
        <f t="shared" si="0"/>
        <v>44348</v>
      </c>
      <c r="M29" s="10"/>
      <c r="N29" s="10"/>
    </row>
    <row r="30" spans="3:14" x14ac:dyDescent="0.3"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3CE6C-C51E-4BD1-9444-EF514F8C452A}">
  <sheetPr>
    <tabColor rgb="FF404040"/>
  </sheetPr>
  <dimension ref="A1"/>
  <sheetViews>
    <sheetView showGridLines="0" topLeftCell="H1" zoomScale="70" zoomScaleNormal="70" workbookViewId="0">
      <selection activeCell="Y29" sqref="Y29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Dashboard</vt:lpstr>
      <vt:lpstr>Resultados</vt:lpstr>
      <vt:lpstr>Queries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Midori Toyota</dc:creator>
  <cp:lastModifiedBy>Felipe Martins</cp:lastModifiedBy>
  <cp:lastPrinted>2021-12-25T02:20:17Z</cp:lastPrinted>
  <dcterms:created xsi:type="dcterms:W3CDTF">2015-06-05T18:17:20Z</dcterms:created>
  <dcterms:modified xsi:type="dcterms:W3CDTF">2026-02-23T17:57:28Z</dcterms:modified>
</cp:coreProperties>
</file>